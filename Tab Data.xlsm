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3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hex/Scripts/Py_Tab_Data/"/>
    </mc:Choice>
  </mc:AlternateContent>
  <xr:revisionPtr revIDLastSave="0" documentId="13_ncr:1_{53C104AA-20BA-A14F-85A6-45469EB70584}" xr6:coauthVersionLast="34" xr6:coauthVersionMax="34" xr10:uidLastSave="{00000000-0000-0000-0000-000000000000}"/>
  <bookViews>
    <workbookView xWindow="9340" yWindow="8900" windowWidth="23740" windowHeight="17500" activeTab="9" xr2:uid="{00000000-000D-0000-FFFF-FFFF00000000}"/>
  </bookViews>
  <sheets>
    <sheet name="Attributes List" sheetId="5" r:id="rId1"/>
    <sheet name="Chart" sheetId="16" r:id="rId2"/>
    <sheet name="Plot" sheetId="12" r:id="rId3"/>
    <sheet name="XHP" sheetId="1" r:id="rId4"/>
    <sheet name="XHP-CL, XHP-A-CL" sheetId="3" state="hidden" r:id="rId5"/>
    <sheet name="Quantum" sheetId="4" state="hidden" r:id="rId6"/>
    <sheet name="QHS" sheetId="18" r:id="rId7"/>
    <sheet name="Quantum Max" sheetId="11" r:id="rId8"/>
    <sheet name="MRP-ESP" sheetId="7" state="hidden" r:id="rId9"/>
    <sheet name="MRP" sheetId="9" r:id="rId10"/>
    <sheet name="CPA_Table" sheetId="14" r:id="rId11"/>
    <sheet name="PDS" sheetId="15" r:id="rId12"/>
    <sheet name="BluePack RH" sheetId="17" r:id="rId13"/>
    <sheet name="Instructions" sheetId="10" r:id="rId14"/>
  </sheets>
  <definedNames>
    <definedName name="ATT" localSheetId="12">'BluePack RH'!$A:$A</definedName>
    <definedName name="ATT" localSheetId="9">MRP!$A:$A</definedName>
    <definedName name="ATT" localSheetId="8">'MRP-ESP'!$A:$A</definedName>
    <definedName name="ATT" localSheetId="6">QHS!$A:$A</definedName>
    <definedName name="ATT" localSheetId="5">Quantum!$A:$A</definedName>
    <definedName name="ATT" localSheetId="7">'Quantum Max'!$A:$A</definedName>
    <definedName name="ATT" localSheetId="4">'XHP-CL, XHP-A-CL'!$A:$A</definedName>
    <definedName name="ATT">XHP!$A:$A</definedName>
    <definedName name="Tab_Data_Txt">Plot!$A$1:$A$6</definedName>
  </definedNames>
  <calcPr calcId="179017"/>
</workbook>
</file>

<file path=xl/calcChain.xml><?xml version="1.0" encoding="utf-8"?>
<calcChain xmlns="http://schemas.openxmlformats.org/spreadsheetml/2006/main">
  <c r="B52" i="9" l="1"/>
  <c r="D52" i="9"/>
  <c r="E52" i="9"/>
  <c r="B2" i="18" l="1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F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E2" i="18"/>
  <c r="D2" i="18"/>
  <c r="F15" i="18" l="1"/>
  <c r="F18" i="18"/>
  <c r="H18" i="18" s="1"/>
  <c r="K18" i="18" s="1"/>
  <c r="H2" i="18"/>
  <c r="I2" i="18" s="1"/>
  <c r="F3" i="18"/>
  <c r="H3" i="18" s="1"/>
  <c r="K3" i="18" s="1"/>
  <c r="F6" i="18"/>
  <c r="H6" i="18" s="1"/>
  <c r="K6" i="18" s="1"/>
  <c r="F22" i="18"/>
  <c r="H22" i="18" s="1"/>
  <c r="F36" i="18"/>
  <c r="H36" i="18" s="1"/>
  <c r="K36" i="18" s="1"/>
  <c r="F13" i="18"/>
  <c r="H13" i="18" s="1"/>
  <c r="K13" i="18" s="1"/>
  <c r="F19" i="18"/>
  <c r="H19" i="18" s="1"/>
  <c r="K19" i="18" s="1"/>
  <c r="F4" i="18"/>
  <c r="H4" i="18" s="1"/>
  <c r="F26" i="18"/>
  <c r="H26" i="18" s="1"/>
  <c r="K26" i="18" s="1"/>
  <c r="F7" i="18"/>
  <c r="H7" i="18" s="1"/>
  <c r="K7" i="18" s="1"/>
  <c r="F23" i="18"/>
  <c r="H23" i="18" s="1"/>
  <c r="K23" i="18" s="1"/>
  <c r="F14" i="18"/>
  <c r="H14" i="18" s="1"/>
  <c r="K14" i="18" s="1"/>
  <c r="F5" i="18"/>
  <c r="H5" i="18" s="1"/>
  <c r="K5" i="18" s="1"/>
  <c r="F27" i="18"/>
  <c r="H27" i="18" s="1"/>
  <c r="K27" i="18" s="1"/>
  <c r="F41" i="18"/>
  <c r="F12" i="18"/>
  <c r="H12" i="18" s="1"/>
  <c r="K12" i="18" s="1"/>
  <c r="H15" i="18"/>
  <c r="K15" i="18" s="1"/>
  <c r="F10" i="18"/>
  <c r="F33" i="18"/>
  <c r="F44" i="18"/>
  <c r="F31" i="18"/>
  <c r="F35" i="18"/>
  <c r="F39" i="18"/>
  <c r="F21" i="18"/>
  <c r="F25" i="18"/>
  <c r="F29" i="18"/>
  <c r="F37" i="18"/>
  <c r="F45" i="18"/>
  <c r="F20" i="18"/>
  <c r="F24" i="18"/>
  <c r="F28" i="18"/>
  <c r="F32" i="18"/>
  <c r="F40" i="18"/>
  <c r="F43" i="18"/>
  <c r="F30" i="18"/>
  <c r="F34" i="18"/>
  <c r="F38" i="18"/>
  <c r="F17" i="18"/>
  <c r="F9" i="18"/>
  <c r="F8" i="18"/>
  <c r="F16" i="18"/>
  <c r="F11" i="18"/>
  <c r="F42" i="18"/>
  <c r="F46" i="18"/>
  <c r="E51" i="17"/>
  <c r="D51" i="17"/>
  <c r="B51" i="17"/>
  <c r="E50" i="17"/>
  <c r="D50" i="17"/>
  <c r="B50" i="17"/>
  <c r="E49" i="17"/>
  <c r="D49" i="17"/>
  <c r="B49" i="17"/>
  <c r="E48" i="17"/>
  <c r="D48" i="17"/>
  <c r="B48" i="17"/>
  <c r="E47" i="17"/>
  <c r="D47" i="17"/>
  <c r="B47" i="17"/>
  <c r="E46" i="17"/>
  <c r="D46" i="17"/>
  <c r="B46" i="17"/>
  <c r="E45" i="17"/>
  <c r="D45" i="17"/>
  <c r="B45" i="17"/>
  <c r="E44" i="17"/>
  <c r="D44" i="17"/>
  <c r="B44" i="17"/>
  <c r="E43" i="17"/>
  <c r="D43" i="17"/>
  <c r="B43" i="17"/>
  <c r="E42" i="17"/>
  <c r="D42" i="17"/>
  <c r="B42" i="17"/>
  <c r="E41" i="17"/>
  <c r="D41" i="17"/>
  <c r="B41" i="17"/>
  <c r="E40" i="17"/>
  <c r="D40" i="17"/>
  <c r="B40" i="17"/>
  <c r="E39" i="17"/>
  <c r="D39" i="17"/>
  <c r="B39" i="17"/>
  <c r="E38" i="17"/>
  <c r="D38" i="17"/>
  <c r="B38" i="17"/>
  <c r="E37" i="17"/>
  <c r="D37" i="17"/>
  <c r="B37" i="17"/>
  <c r="E36" i="17"/>
  <c r="D36" i="17"/>
  <c r="B36" i="17"/>
  <c r="E35" i="17"/>
  <c r="D35" i="17"/>
  <c r="B35" i="17"/>
  <c r="E34" i="17"/>
  <c r="D34" i="17"/>
  <c r="B34" i="17"/>
  <c r="E33" i="17"/>
  <c r="D33" i="17"/>
  <c r="B33" i="17"/>
  <c r="E32" i="17"/>
  <c r="D32" i="17"/>
  <c r="B32" i="17"/>
  <c r="E31" i="17"/>
  <c r="D31" i="17"/>
  <c r="B31" i="17"/>
  <c r="E30" i="17"/>
  <c r="D30" i="17"/>
  <c r="B30" i="17"/>
  <c r="E29" i="17"/>
  <c r="D29" i="17"/>
  <c r="B29" i="17"/>
  <c r="E28" i="17"/>
  <c r="D28" i="17"/>
  <c r="B28" i="17"/>
  <c r="E27" i="17"/>
  <c r="D27" i="17"/>
  <c r="B27" i="17"/>
  <c r="E26" i="17"/>
  <c r="D26" i="17"/>
  <c r="B26" i="17"/>
  <c r="E25" i="17"/>
  <c r="D25" i="17"/>
  <c r="B25" i="17"/>
  <c r="E24" i="17"/>
  <c r="D24" i="17"/>
  <c r="B24" i="17"/>
  <c r="E23" i="17"/>
  <c r="D23" i="17"/>
  <c r="B23" i="17"/>
  <c r="E22" i="17"/>
  <c r="D22" i="17"/>
  <c r="B22" i="17"/>
  <c r="E21" i="17"/>
  <c r="D21" i="17"/>
  <c r="B21" i="17"/>
  <c r="E20" i="17"/>
  <c r="D20" i="17"/>
  <c r="B20" i="17"/>
  <c r="E19" i="17"/>
  <c r="D19" i="17"/>
  <c r="B19" i="17"/>
  <c r="E18" i="17"/>
  <c r="D18" i="17"/>
  <c r="B18" i="17"/>
  <c r="E17" i="17"/>
  <c r="D17" i="17"/>
  <c r="B17" i="17"/>
  <c r="E16" i="17"/>
  <c r="D16" i="17"/>
  <c r="B16" i="17"/>
  <c r="E15" i="17"/>
  <c r="D15" i="17"/>
  <c r="B15" i="17"/>
  <c r="E14" i="17"/>
  <c r="D14" i="17"/>
  <c r="B14" i="17"/>
  <c r="E13" i="17"/>
  <c r="D13" i="17"/>
  <c r="B13" i="17"/>
  <c r="E12" i="17"/>
  <c r="D12" i="17"/>
  <c r="B12" i="17"/>
  <c r="E11" i="17"/>
  <c r="D11" i="17"/>
  <c r="B11" i="17"/>
  <c r="E10" i="17"/>
  <c r="D10" i="17"/>
  <c r="B10" i="17"/>
  <c r="E9" i="17"/>
  <c r="D9" i="17"/>
  <c r="B9" i="17"/>
  <c r="E8" i="17"/>
  <c r="D8" i="17"/>
  <c r="B8" i="17"/>
  <c r="E7" i="17"/>
  <c r="D7" i="17"/>
  <c r="B7" i="17"/>
  <c r="E6" i="17"/>
  <c r="D6" i="17"/>
  <c r="B6" i="17"/>
  <c r="E5" i="17"/>
  <c r="D5" i="17"/>
  <c r="B5" i="17"/>
  <c r="E4" i="17"/>
  <c r="D4" i="17"/>
  <c r="B4" i="17"/>
  <c r="E3" i="17"/>
  <c r="D3" i="17"/>
  <c r="B3" i="17"/>
  <c r="F3" i="17" s="1"/>
  <c r="E2" i="17"/>
  <c r="D2" i="17"/>
  <c r="B2" i="17"/>
  <c r="K41" i="18" l="1"/>
  <c r="H41" i="18"/>
  <c r="K2" i="18"/>
  <c r="J2" i="18"/>
  <c r="K4" i="18"/>
  <c r="K22" i="18"/>
  <c r="H9" i="18"/>
  <c r="K9" i="18" s="1"/>
  <c r="H40" i="18"/>
  <c r="K40" i="18" s="1"/>
  <c r="H25" i="18"/>
  <c r="K25" i="18" s="1"/>
  <c r="H33" i="18"/>
  <c r="K33" i="18"/>
  <c r="H17" i="18"/>
  <c r="K17" i="18"/>
  <c r="H32" i="18"/>
  <c r="K32" i="18" s="1"/>
  <c r="H21" i="18"/>
  <c r="K21" i="18" s="1"/>
  <c r="H10" i="18"/>
  <c r="K10" i="18" s="1"/>
  <c r="I22" i="18"/>
  <c r="J22" i="18"/>
  <c r="I18" i="18"/>
  <c r="J18" i="18"/>
  <c r="I4" i="18"/>
  <c r="J4" i="18"/>
  <c r="H38" i="18"/>
  <c r="K38" i="18"/>
  <c r="H28" i="18"/>
  <c r="K28" i="18" s="1"/>
  <c r="H39" i="18"/>
  <c r="K39" i="18" s="1"/>
  <c r="I6" i="18"/>
  <c r="J6" i="18"/>
  <c r="H34" i="18"/>
  <c r="K34" i="18" s="1"/>
  <c r="H35" i="18"/>
  <c r="K35" i="18"/>
  <c r="I36" i="18"/>
  <c r="J36" i="18"/>
  <c r="H30" i="18"/>
  <c r="K30" i="18"/>
  <c r="H31" i="18"/>
  <c r="K31" i="18" s="1"/>
  <c r="H45" i="18"/>
  <c r="K45" i="18" s="1"/>
  <c r="H16" i="18"/>
  <c r="K16" i="18"/>
  <c r="H37" i="18"/>
  <c r="K37" i="18" s="1"/>
  <c r="H44" i="18"/>
  <c r="K44" i="18" s="1"/>
  <c r="I14" i="18"/>
  <c r="J14" i="18"/>
  <c r="I7" i="18"/>
  <c r="J7" i="18"/>
  <c r="H46" i="18"/>
  <c r="K46" i="18" s="1"/>
  <c r="H24" i="18"/>
  <c r="K24" i="18" s="1"/>
  <c r="I23" i="18"/>
  <c r="J23" i="18"/>
  <c r="I13" i="18"/>
  <c r="J13" i="18"/>
  <c r="H42" i="18"/>
  <c r="K42" i="18" s="1"/>
  <c r="H20" i="18"/>
  <c r="K20" i="18" s="1"/>
  <c r="I15" i="18"/>
  <c r="J15" i="18"/>
  <c r="I5" i="18"/>
  <c r="J5" i="18"/>
  <c r="I3" i="18"/>
  <c r="J3" i="18"/>
  <c r="H11" i="18"/>
  <c r="K11" i="18" s="1"/>
  <c r="I27" i="18"/>
  <c r="J27" i="18"/>
  <c r="H8" i="18"/>
  <c r="K8" i="18" s="1"/>
  <c r="H43" i="18"/>
  <c r="K43" i="18"/>
  <c r="H29" i="18"/>
  <c r="K29" i="18" s="1"/>
  <c r="I12" i="18"/>
  <c r="J12" i="18"/>
  <c r="I26" i="18"/>
  <c r="J26" i="18"/>
  <c r="I19" i="18"/>
  <c r="J19" i="18"/>
  <c r="F14" i="17"/>
  <c r="F19" i="17"/>
  <c r="F38" i="17"/>
  <c r="F6" i="17"/>
  <c r="K6" i="17" s="1"/>
  <c r="F17" i="17"/>
  <c r="F32" i="17"/>
  <c r="F9" i="17"/>
  <c r="F22" i="17"/>
  <c r="F27" i="17"/>
  <c r="F43" i="17"/>
  <c r="K43" i="17" s="1"/>
  <c r="F45" i="17"/>
  <c r="F50" i="17"/>
  <c r="F4" i="17"/>
  <c r="K4" i="17" s="1"/>
  <c r="F11" i="17"/>
  <c r="F13" i="17"/>
  <c r="F15" i="17"/>
  <c r="F20" i="17"/>
  <c r="F30" i="17"/>
  <c r="K30" i="17" s="1"/>
  <c r="F35" i="17"/>
  <c r="F48" i="17"/>
  <c r="H48" i="17" s="1"/>
  <c r="F2" i="17"/>
  <c r="F7" i="17"/>
  <c r="K7" i="17" s="1"/>
  <c r="F25" i="17"/>
  <c r="F33" i="17"/>
  <c r="H33" i="17" s="1"/>
  <c r="F37" i="17"/>
  <c r="F39" i="17"/>
  <c r="F41" i="17"/>
  <c r="K41" i="17" s="1"/>
  <c r="F24" i="17"/>
  <c r="F29" i="17"/>
  <c r="K29" i="17" s="1"/>
  <c r="F47" i="17"/>
  <c r="H47" i="17" s="1"/>
  <c r="K47" i="17" s="1"/>
  <c r="F40" i="17"/>
  <c r="F23" i="17"/>
  <c r="H23" i="17" s="1"/>
  <c r="F28" i="17"/>
  <c r="K28" i="17" s="1"/>
  <c r="F44" i="17"/>
  <c r="F46" i="17"/>
  <c r="H46" i="17" s="1"/>
  <c r="K46" i="17" s="1"/>
  <c r="F51" i="17"/>
  <c r="K51" i="17" s="1"/>
  <c r="F5" i="17"/>
  <c r="K5" i="17" s="1"/>
  <c r="F16" i="17"/>
  <c r="F21" i="17"/>
  <c r="F31" i="17"/>
  <c r="K31" i="17" s="1"/>
  <c r="F49" i="17"/>
  <c r="F18" i="17"/>
  <c r="K18" i="17" s="1"/>
  <c r="F10" i="17"/>
  <c r="F8" i="17"/>
  <c r="H8" i="17" s="1"/>
  <c r="F12" i="17"/>
  <c r="F26" i="17"/>
  <c r="H26" i="17" s="1"/>
  <c r="F34" i="17"/>
  <c r="F36" i="17"/>
  <c r="F42" i="17"/>
  <c r="K14" i="17"/>
  <c r="H14" i="17"/>
  <c r="K19" i="17"/>
  <c r="H19" i="17"/>
  <c r="K50" i="17"/>
  <c r="H50" i="17"/>
  <c r="K22" i="17"/>
  <c r="H22" i="17"/>
  <c r="K32" i="17"/>
  <c r="H32" i="17"/>
  <c r="K3" i="17"/>
  <c r="H3" i="17"/>
  <c r="K27" i="17"/>
  <c r="H27" i="17"/>
  <c r="H51" i="17"/>
  <c r="K40" i="17"/>
  <c r="H40" i="17"/>
  <c r="K45" i="17"/>
  <c r="H45" i="17"/>
  <c r="K20" i="17"/>
  <c r="H20" i="17"/>
  <c r="K16" i="17"/>
  <c r="H16" i="17"/>
  <c r="H30" i="17"/>
  <c r="K42" i="17"/>
  <c r="H42" i="17"/>
  <c r="H28" i="17"/>
  <c r="K48" i="17"/>
  <c r="K15" i="17"/>
  <c r="H15" i="17"/>
  <c r="H41" i="17"/>
  <c r="K23" i="17"/>
  <c r="K25" i="17"/>
  <c r="H25" i="17"/>
  <c r="K33" i="17"/>
  <c r="I23" i="12"/>
  <c r="I24" i="12"/>
  <c r="K21" i="12"/>
  <c r="K22" i="12"/>
  <c r="K19" i="12"/>
  <c r="K20" i="12"/>
  <c r="T23" i="12"/>
  <c r="T24" i="12"/>
  <c r="T21" i="12"/>
  <c r="U21" i="12"/>
  <c r="T22" i="12"/>
  <c r="U22" i="12"/>
  <c r="V19" i="12"/>
  <c r="V20" i="12"/>
  <c r="U19" i="12"/>
  <c r="U20" i="12"/>
  <c r="H23" i="12"/>
  <c r="H24" i="12"/>
  <c r="H21" i="12"/>
  <c r="I21" i="12"/>
  <c r="J21" i="12"/>
  <c r="H22" i="12"/>
  <c r="I22" i="12"/>
  <c r="J22" i="12"/>
  <c r="H19" i="12"/>
  <c r="I19" i="12"/>
  <c r="J19" i="12"/>
  <c r="H20" i="12"/>
  <c r="I20" i="12"/>
  <c r="J20" i="12"/>
  <c r="K2" i="17" l="1"/>
  <c r="H2" i="17"/>
  <c r="K11" i="17"/>
  <c r="H11" i="17"/>
  <c r="K9" i="17"/>
  <c r="H9" i="17"/>
  <c r="K10" i="17"/>
  <c r="H10" i="17"/>
  <c r="K24" i="17"/>
  <c r="H24" i="17"/>
  <c r="K44" i="17"/>
  <c r="H44" i="17"/>
  <c r="K17" i="17"/>
  <c r="H17" i="17"/>
  <c r="K36" i="17"/>
  <c r="H36" i="17"/>
  <c r="K49" i="17"/>
  <c r="H49" i="17"/>
  <c r="K39" i="17"/>
  <c r="H39" i="17"/>
  <c r="K35" i="17"/>
  <c r="H35" i="17"/>
  <c r="K8" i="17"/>
  <c r="H4" i="17"/>
  <c r="K34" i="17"/>
  <c r="H34" i="17"/>
  <c r="K37" i="17"/>
  <c r="H37" i="17"/>
  <c r="K38" i="17"/>
  <c r="H38" i="17"/>
  <c r="H31" i="17"/>
  <c r="K21" i="17"/>
  <c r="H21" i="17"/>
  <c r="K26" i="17"/>
  <c r="K12" i="17"/>
  <c r="H12" i="17"/>
  <c r="K13" i="17"/>
  <c r="H13" i="17"/>
  <c r="I41" i="18"/>
  <c r="J41" i="18"/>
  <c r="I31" i="18"/>
  <c r="J31" i="18"/>
  <c r="I11" i="18"/>
  <c r="J11" i="18"/>
  <c r="I20" i="18"/>
  <c r="J20" i="18"/>
  <c r="I16" i="18"/>
  <c r="J16" i="18"/>
  <c r="I30" i="18"/>
  <c r="J30" i="18"/>
  <c r="I21" i="18"/>
  <c r="J21" i="18"/>
  <c r="I25" i="18"/>
  <c r="J25" i="18"/>
  <c r="I10" i="18"/>
  <c r="J10" i="18"/>
  <c r="I43" i="18"/>
  <c r="J43" i="18"/>
  <c r="I34" i="18"/>
  <c r="J34" i="18"/>
  <c r="I33" i="18"/>
  <c r="J33" i="18"/>
  <c r="I24" i="18"/>
  <c r="J24" i="18"/>
  <c r="I44" i="18"/>
  <c r="J44" i="18"/>
  <c r="I39" i="18"/>
  <c r="J39" i="18"/>
  <c r="I32" i="18"/>
  <c r="J32" i="18"/>
  <c r="I40" i="18"/>
  <c r="J40" i="18"/>
  <c r="I38" i="18"/>
  <c r="J38" i="18"/>
  <c r="I8" i="18"/>
  <c r="J8" i="18"/>
  <c r="I42" i="18"/>
  <c r="J42" i="18"/>
  <c r="I45" i="18"/>
  <c r="J45" i="18"/>
  <c r="I29" i="18"/>
  <c r="J29" i="18"/>
  <c r="I46" i="18"/>
  <c r="J46" i="18"/>
  <c r="I37" i="18"/>
  <c r="J37" i="18"/>
  <c r="I35" i="18"/>
  <c r="J35" i="18"/>
  <c r="I28" i="18"/>
  <c r="J28" i="18"/>
  <c r="I17" i="18"/>
  <c r="J17" i="18"/>
  <c r="I9" i="18"/>
  <c r="J9" i="18"/>
  <c r="H5" i="17"/>
  <c r="H6" i="17"/>
  <c r="I6" i="17" s="1"/>
  <c r="H7" i="17"/>
  <c r="I7" i="17" s="1"/>
  <c r="H43" i="17"/>
  <c r="J43" i="17" s="1"/>
  <c r="H18" i="17"/>
  <c r="I18" i="17" s="1"/>
  <c r="H29" i="17"/>
  <c r="J29" i="17" s="1"/>
  <c r="J15" i="17"/>
  <c r="I15" i="17"/>
  <c r="J45" i="17"/>
  <c r="I45" i="17"/>
  <c r="J26" i="17"/>
  <c r="I26" i="17"/>
  <c r="J25" i="17"/>
  <c r="I25" i="17"/>
  <c r="J5" i="17"/>
  <c r="I5" i="17"/>
  <c r="J42" i="17"/>
  <c r="I42" i="17"/>
  <c r="J6" i="17"/>
  <c r="J31" i="17"/>
  <c r="I31" i="17"/>
  <c r="J27" i="17"/>
  <c r="I27" i="17"/>
  <c r="J22" i="17"/>
  <c r="I22" i="17"/>
  <c r="J19" i="17"/>
  <c r="I19" i="17"/>
  <c r="J33" i="17"/>
  <c r="I33" i="17"/>
  <c r="J51" i="17"/>
  <c r="I51" i="17"/>
  <c r="J48" i="17"/>
  <c r="I48" i="17"/>
  <c r="J8" i="17"/>
  <c r="I8" i="17"/>
  <c r="J41" i="17"/>
  <c r="I41" i="17"/>
  <c r="J18" i="17"/>
  <c r="J40" i="17"/>
  <c r="I40" i="17"/>
  <c r="J46" i="17"/>
  <c r="I46" i="17"/>
  <c r="J50" i="17"/>
  <c r="I50" i="17"/>
  <c r="J4" i="17"/>
  <c r="I4" i="17"/>
  <c r="J28" i="17"/>
  <c r="I28" i="17"/>
  <c r="J16" i="17"/>
  <c r="I16" i="17"/>
  <c r="J32" i="17"/>
  <c r="I32" i="17"/>
  <c r="J23" i="17"/>
  <c r="I23" i="17"/>
  <c r="J30" i="17"/>
  <c r="I30" i="17"/>
  <c r="J20" i="17"/>
  <c r="I20" i="17"/>
  <c r="J3" i="17"/>
  <c r="I3" i="17"/>
  <c r="J14" i="17"/>
  <c r="I14" i="17"/>
  <c r="J47" i="17"/>
  <c r="I47" i="17"/>
  <c r="D23" i="12"/>
  <c r="E23" i="12"/>
  <c r="F23" i="12"/>
  <c r="G23" i="12"/>
  <c r="D24" i="12"/>
  <c r="E24" i="12"/>
  <c r="F24" i="12"/>
  <c r="G24" i="12"/>
  <c r="C23" i="12"/>
  <c r="I36" i="17" l="1"/>
  <c r="J36" i="17"/>
  <c r="I10" i="17"/>
  <c r="J10" i="17"/>
  <c r="I13" i="17"/>
  <c r="J13" i="17"/>
  <c r="I38" i="17"/>
  <c r="J38" i="17"/>
  <c r="I35" i="17"/>
  <c r="J35" i="17"/>
  <c r="I17" i="17"/>
  <c r="J17" i="17"/>
  <c r="I9" i="17"/>
  <c r="J9" i="17"/>
  <c r="I12" i="17"/>
  <c r="J12" i="17"/>
  <c r="I37" i="17"/>
  <c r="J37" i="17"/>
  <c r="I39" i="17"/>
  <c r="J39" i="17"/>
  <c r="I44" i="17"/>
  <c r="J44" i="17"/>
  <c r="I11" i="17"/>
  <c r="J11" i="17"/>
  <c r="I34" i="17"/>
  <c r="J34" i="17"/>
  <c r="I49" i="17"/>
  <c r="J49" i="17"/>
  <c r="I24" i="17"/>
  <c r="J24" i="17"/>
  <c r="I2" i="17"/>
  <c r="J2" i="17"/>
  <c r="I21" i="17"/>
  <c r="J21" i="17"/>
  <c r="I29" i="17"/>
  <c r="I43" i="17"/>
  <c r="J7" i="17"/>
  <c r="O23" i="12"/>
  <c r="P23" i="12"/>
  <c r="Q23" i="12"/>
  <c r="R23" i="12"/>
  <c r="S23" i="12"/>
  <c r="O24" i="12"/>
  <c r="P24" i="12"/>
  <c r="Q24" i="12"/>
  <c r="R24" i="12"/>
  <c r="S24" i="12"/>
  <c r="N24" i="12"/>
  <c r="N23" i="12"/>
  <c r="O20" i="12"/>
  <c r="P20" i="12"/>
  <c r="Q20" i="12"/>
  <c r="R20" i="12"/>
  <c r="S20" i="12"/>
  <c r="T20" i="12"/>
  <c r="N20" i="12"/>
  <c r="O21" i="12"/>
  <c r="P21" i="12"/>
  <c r="Q21" i="12"/>
  <c r="R21" i="12"/>
  <c r="S21" i="12"/>
  <c r="O22" i="12"/>
  <c r="P22" i="12"/>
  <c r="Q22" i="12"/>
  <c r="R22" i="12"/>
  <c r="S22" i="12"/>
  <c r="N22" i="12"/>
  <c r="N21" i="12"/>
  <c r="O19" i="12"/>
  <c r="P19" i="12"/>
  <c r="Q19" i="12"/>
  <c r="R19" i="12"/>
  <c r="S19" i="12"/>
  <c r="T19" i="12"/>
  <c r="N19" i="12"/>
  <c r="M24" i="12"/>
  <c r="M23" i="12"/>
  <c r="M22" i="12"/>
  <c r="M21" i="12"/>
  <c r="M20" i="12"/>
  <c r="M19" i="12"/>
  <c r="G22" i="12"/>
  <c r="C24" i="12"/>
  <c r="D21" i="12"/>
  <c r="E21" i="12"/>
  <c r="F21" i="12"/>
  <c r="G21" i="12"/>
  <c r="D22" i="12"/>
  <c r="E22" i="12"/>
  <c r="F22" i="12"/>
  <c r="C22" i="12"/>
  <c r="C21" i="12"/>
  <c r="D19" i="12"/>
  <c r="E19" i="12"/>
  <c r="F19" i="12"/>
  <c r="G19" i="12"/>
  <c r="D20" i="12"/>
  <c r="E20" i="12"/>
  <c r="F20" i="12"/>
  <c r="G20" i="12"/>
  <c r="C20" i="12"/>
  <c r="C19" i="12"/>
  <c r="B20" i="12"/>
  <c r="B21" i="12"/>
  <c r="B22" i="12"/>
  <c r="B23" i="12"/>
  <c r="B24" i="12"/>
  <c r="B19" i="12"/>
  <c r="E51" i="11" l="1"/>
  <c r="D51" i="11"/>
  <c r="B51" i="11"/>
  <c r="E50" i="11"/>
  <c r="D50" i="11"/>
  <c r="B50" i="11"/>
  <c r="E49" i="11"/>
  <c r="D49" i="11"/>
  <c r="B49" i="11"/>
  <c r="E48" i="11"/>
  <c r="D48" i="11"/>
  <c r="B48" i="11"/>
  <c r="E47" i="11"/>
  <c r="D47" i="11"/>
  <c r="B47" i="11"/>
  <c r="E46" i="11"/>
  <c r="D46" i="11"/>
  <c r="B46" i="11"/>
  <c r="E45" i="11"/>
  <c r="D45" i="11"/>
  <c r="B45" i="11"/>
  <c r="E44" i="11"/>
  <c r="D44" i="11"/>
  <c r="B44" i="11"/>
  <c r="E43" i="11"/>
  <c r="D43" i="11"/>
  <c r="B43" i="11"/>
  <c r="E42" i="11"/>
  <c r="D42" i="11"/>
  <c r="B42" i="11"/>
  <c r="E41" i="11"/>
  <c r="D41" i="11"/>
  <c r="B41" i="11"/>
  <c r="E40" i="11"/>
  <c r="D40" i="11"/>
  <c r="B40" i="11"/>
  <c r="E39" i="11"/>
  <c r="D39" i="11"/>
  <c r="B39" i="11"/>
  <c r="E38" i="11"/>
  <c r="D38" i="11"/>
  <c r="B38" i="11"/>
  <c r="E37" i="11"/>
  <c r="D37" i="11"/>
  <c r="B37" i="11"/>
  <c r="E36" i="11"/>
  <c r="D36" i="11"/>
  <c r="B36" i="11"/>
  <c r="E35" i="11"/>
  <c r="D35" i="11"/>
  <c r="B35" i="11"/>
  <c r="E34" i="11"/>
  <c r="D34" i="11"/>
  <c r="B34" i="11"/>
  <c r="E33" i="11"/>
  <c r="D33" i="11"/>
  <c r="B33" i="11"/>
  <c r="E32" i="11"/>
  <c r="D32" i="11"/>
  <c r="B32" i="11"/>
  <c r="E31" i="11"/>
  <c r="D31" i="11"/>
  <c r="B31" i="11"/>
  <c r="E30" i="11"/>
  <c r="D30" i="11"/>
  <c r="B30" i="11"/>
  <c r="E29" i="11"/>
  <c r="D29" i="11"/>
  <c r="B29" i="11"/>
  <c r="E28" i="11"/>
  <c r="D28" i="11"/>
  <c r="B28" i="11"/>
  <c r="E27" i="11"/>
  <c r="D27" i="11"/>
  <c r="B27" i="11"/>
  <c r="E26" i="11"/>
  <c r="D26" i="11"/>
  <c r="B26" i="11"/>
  <c r="E25" i="11"/>
  <c r="D25" i="11"/>
  <c r="B25" i="11"/>
  <c r="E24" i="11"/>
  <c r="D24" i="11"/>
  <c r="B24" i="11"/>
  <c r="E23" i="11"/>
  <c r="D23" i="11"/>
  <c r="B23" i="11"/>
  <c r="E22" i="11"/>
  <c r="D22" i="11"/>
  <c r="B22" i="11"/>
  <c r="E21" i="11"/>
  <c r="D21" i="11"/>
  <c r="B21" i="11"/>
  <c r="E20" i="11"/>
  <c r="D20" i="11"/>
  <c r="B20" i="11"/>
  <c r="E19" i="11"/>
  <c r="D19" i="11"/>
  <c r="B19" i="11"/>
  <c r="E18" i="11"/>
  <c r="D18" i="11"/>
  <c r="B18" i="11"/>
  <c r="E17" i="11"/>
  <c r="D17" i="11"/>
  <c r="B17" i="11"/>
  <c r="E16" i="11"/>
  <c r="D16" i="11"/>
  <c r="B16" i="11"/>
  <c r="E15" i="11"/>
  <c r="D15" i="11"/>
  <c r="B15" i="11"/>
  <c r="E14" i="11"/>
  <c r="D14" i="11"/>
  <c r="B14" i="11"/>
  <c r="E13" i="11"/>
  <c r="D13" i="11"/>
  <c r="B13" i="11"/>
  <c r="E12" i="11"/>
  <c r="D12" i="11"/>
  <c r="B12" i="11"/>
  <c r="E11" i="11"/>
  <c r="D11" i="11"/>
  <c r="B11" i="11"/>
  <c r="E10" i="11"/>
  <c r="D10" i="11"/>
  <c r="B10" i="11"/>
  <c r="E9" i="11"/>
  <c r="D9" i="11"/>
  <c r="B9" i="11"/>
  <c r="E8" i="11"/>
  <c r="D8" i="11"/>
  <c r="B8" i="11"/>
  <c r="E7" i="11"/>
  <c r="D7" i="11"/>
  <c r="B7" i="11"/>
  <c r="E6" i="11"/>
  <c r="D6" i="11"/>
  <c r="B6" i="11"/>
  <c r="E5" i="11"/>
  <c r="D5" i="11"/>
  <c r="B5" i="11"/>
  <c r="E4" i="11"/>
  <c r="D4" i="11"/>
  <c r="B4" i="11"/>
  <c r="E3" i="11"/>
  <c r="D3" i="11"/>
  <c r="B3" i="11"/>
  <c r="E2" i="11"/>
  <c r="D2" i="11"/>
  <c r="B2" i="11"/>
  <c r="F4" i="11" l="1"/>
  <c r="F2" i="11"/>
  <c r="K2" i="11" s="1"/>
  <c r="F46" i="11"/>
  <c r="H46" i="11" s="1"/>
  <c r="F27" i="11"/>
  <c r="F40" i="11"/>
  <c r="F45" i="11"/>
  <c r="H45" i="11" s="1"/>
  <c r="F14" i="11"/>
  <c r="K14" i="11" s="1"/>
  <c r="F35" i="11"/>
  <c r="F3" i="11"/>
  <c r="K3" i="11" s="1"/>
  <c r="F8" i="11"/>
  <c r="F13" i="11"/>
  <c r="K13" i="11" s="1"/>
  <c r="F21" i="11"/>
  <c r="F34" i="11"/>
  <c r="K34" i="11" s="1"/>
  <c r="F6" i="11"/>
  <c r="H6" i="11" s="1"/>
  <c r="F16" i="11"/>
  <c r="H16" i="11" s="1"/>
  <c r="F24" i="11"/>
  <c r="F29" i="11"/>
  <c r="H29" i="11" s="1"/>
  <c r="F37" i="11"/>
  <c r="H37" i="11" s="1"/>
  <c r="F42" i="11"/>
  <c r="K42" i="11" s="1"/>
  <c r="F47" i="11"/>
  <c r="K47" i="11" s="1"/>
  <c r="F19" i="11"/>
  <c r="K19" i="11" s="1"/>
  <c r="F32" i="11"/>
  <c r="K32" i="11" s="1"/>
  <c r="F50" i="11"/>
  <c r="K50" i="11" s="1"/>
  <c r="F9" i="11"/>
  <c r="F17" i="11"/>
  <c r="K17" i="11" s="1"/>
  <c r="F25" i="11"/>
  <c r="K25" i="11" s="1"/>
  <c r="F38" i="11"/>
  <c r="K38" i="11" s="1"/>
  <c r="F43" i="11"/>
  <c r="H43" i="11" s="1"/>
  <c r="F12" i="11"/>
  <c r="H12" i="11" s="1"/>
  <c r="F20" i="11"/>
  <c r="K20" i="11" s="1"/>
  <c r="F33" i="11"/>
  <c r="K33" i="11" s="1"/>
  <c r="F51" i="11"/>
  <c r="F5" i="11"/>
  <c r="K5" i="11" s="1"/>
  <c r="F15" i="11"/>
  <c r="H15" i="11" s="1"/>
  <c r="F23" i="11"/>
  <c r="K23" i="11" s="1"/>
  <c r="F28" i="11"/>
  <c r="H28" i="11" s="1"/>
  <c r="F36" i="11"/>
  <c r="K36" i="11" s="1"/>
  <c r="F41" i="11"/>
  <c r="H41" i="11" s="1"/>
  <c r="F11" i="11"/>
  <c r="H11" i="11" s="1"/>
  <c r="F22" i="11"/>
  <c r="F7" i="11"/>
  <c r="F30" i="11"/>
  <c r="H30" i="11" s="1"/>
  <c r="F48" i="11"/>
  <c r="K48" i="11" s="1"/>
  <c r="F10" i="11"/>
  <c r="K10" i="11" s="1"/>
  <c r="F18" i="11"/>
  <c r="K18" i="11" s="1"/>
  <c r="F26" i="11"/>
  <c r="K26" i="11" s="1"/>
  <c r="F31" i="11"/>
  <c r="H31" i="11" s="1"/>
  <c r="F39" i="11"/>
  <c r="F44" i="11"/>
  <c r="K44" i="11" s="1"/>
  <c r="F49" i="11"/>
  <c r="K49" i="11" s="1"/>
  <c r="H47" i="11"/>
  <c r="H10" i="11"/>
  <c r="K21" i="11"/>
  <c r="H21" i="11"/>
  <c r="K29" i="11"/>
  <c r="K4" i="11"/>
  <c r="H4" i="11"/>
  <c r="K9" i="11"/>
  <c r="H9" i="11"/>
  <c r="K43" i="11"/>
  <c r="K51" i="11"/>
  <c r="H51" i="11"/>
  <c r="K24" i="11"/>
  <c r="H24" i="11"/>
  <c r="H19" i="11"/>
  <c r="K22" i="11"/>
  <c r="H22" i="11"/>
  <c r="K35" i="11"/>
  <c r="H35" i="11"/>
  <c r="K28" i="11"/>
  <c r="H18" i="11"/>
  <c r="K39" i="11"/>
  <c r="H39" i="11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H2" i="11" l="1"/>
  <c r="J2" i="11" s="1"/>
  <c r="K31" i="11"/>
  <c r="H38" i="11"/>
  <c r="K12" i="11"/>
  <c r="H50" i="11"/>
  <c r="J50" i="11" s="1"/>
  <c r="I2" i="11"/>
  <c r="H26" i="11"/>
  <c r="I26" i="11" s="1"/>
  <c r="H14" i="11"/>
  <c r="J14" i="11" s="1"/>
  <c r="H34" i="11"/>
  <c r="J34" i="11" s="1"/>
  <c r="K16" i="11"/>
  <c r="K11" i="11"/>
  <c r="H36" i="11"/>
  <c r="I36" i="11" s="1"/>
  <c r="H33" i="11"/>
  <c r="J33" i="11" s="1"/>
  <c r="K15" i="11"/>
  <c r="K30" i="11"/>
  <c r="K8" i="11"/>
  <c r="H8" i="11"/>
  <c r="K7" i="11"/>
  <c r="H7" i="11"/>
  <c r="H49" i="11"/>
  <c r="J49" i="11" s="1"/>
  <c r="H5" i="11"/>
  <c r="J5" i="11" s="1"/>
  <c r="K45" i="11"/>
  <c r="H25" i="11"/>
  <c r="J25" i="11" s="1"/>
  <c r="H44" i="11"/>
  <c r="J44" i="11" s="1"/>
  <c r="K40" i="11"/>
  <c r="H40" i="11"/>
  <c r="K41" i="11"/>
  <c r="K37" i="11"/>
  <c r="K27" i="11"/>
  <c r="H27" i="11"/>
  <c r="K6" i="11"/>
  <c r="H48" i="11"/>
  <c r="J48" i="11" s="1"/>
  <c r="H23" i="11"/>
  <c r="J23" i="11" s="1"/>
  <c r="H42" i="11"/>
  <c r="I42" i="11" s="1"/>
  <c r="H20" i="11"/>
  <c r="J20" i="11" s="1"/>
  <c r="H17" i="11"/>
  <c r="I17" i="11" s="1"/>
  <c r="H3" i="11"/>
  <c r="J3" i="11" s="1"/>
  <c r="H13" i="11"/>
  <c r="J13" i="11" s="1"/>
  <c r="H32" i="11"/>
  <c r="J32" i="11" s="1"/>
  <c r="J39" i="11"/>
  <c r="I39" i="11"/>
  <c r="J41" i="11"/>
  <c r="I41" i="11"/>
  <c r="J46" i="11"/>
  <c r="I46" i="11"/>
  <c r="J38" i="11"/>
  <c r="I38" i="11"/>
  <c r="J9" i="11"/>
  <c r="I9" i="11"/>
  <c r="J31" i="11"/>
  <c r="I31" i="11"/>
  <c r="J35" i="11"/>
  <c r="I35" i="11"/>
  <c r="J43" i="11"/>
  <c r="I43" i="11"/>
  <c r="J22" i="11"/>
  <c r="I22" i="11"/>
  <c r="J24" i="11"/>
  <c r="I24" i="11"/>
  <c r="K46" i="11"/>
  <c r="J45" i="11"/>
  <c r="I45" i="11"/>
  <c r="J51" i="11"/>
  <c r="I51" i="11"/>
  <c r="J37" i="11"/>
  <c r="I37" i="11"/>
  <c r="J30" i="11"/>
  <c r="I30" i="11"/>
  <c r="J4" i="11"/>
  <c r="I4" i="11"/>
  <c r="J16" i="11"/>
  <c r="I16" i="11"/>
  <c r="J15" i="11"/>
  <c r="I15" i="11"/>
  <c r="J11" i="11"/>
  <c r="I11" i="11"/>
  <c r="I50" i="11"/>
  <c r="J47" i="11"/>
  <c r="I47" i="11"/>
  <c r="J18" i="11"/>
  <c r="I18" i="11"/>
  <c r="J28" i="11"/>
  <c r="I28" i="11"/>
  <c r="J12" i="11"/>
  <c r="I12" i="11"/>
  <c r="J21" i="11"/>
  <c r="I21" i="11"/>
  <c r="J10" i="11"/>
  <c r="I10" i="11"/>
  <c r="I6" i="11"/>
  <c r="J6" i="11"/>
  <c r="J19" i="11"/>
  <c r="I19" i="11"/>
  <c r="J29" i="11"/>
  <c r="I29" i="11"/>
  <c r="E51" i="9"/>
  <c r="D51" i="9"/>
  <c r="B51" i="9"/>
  <c r="E50" i="9"/>
  <c r="D50" i="9"/>
  <c r="B50" i="9"/>
  <c r="E49" i="9"/>
  <c r="D49" i="9"/>
  <c r="B49" i="9"/>
  <c r="E48" i="9"/>
  <c r="D48" i="9"/>
  <c r="B48" i="9"/>
  <c r="E47" i="9"/>
  <c r="D47" i="9"/>
  <c r="B47" i="9"/>
  <c r="E46" i="9"/>
  <c r="D46" i="9"/>
  <c r="B46" i="9"/>
  <c r="E45" i="9"/>
  <c r="D45" i="9"/>
  <c r="B45" i="9"/>
  <c r="E44" i="9"/>
  <c r="D44" i="9"/>
  <c r="B44" i="9"/>
  <c r="E43" i="9"/>
  <c r="D43" i="9"/>
  <c r="B43" i="9"/>
  <c r="E42" i="9"/>
  <c r="D42" i="9"/>
  <c r="B42" i="9"/>
  <c r="E41" i="9"/>
  <c r="D41" i="9"/>
  <c r="B41" i="9"/>
  <c r="E40" i="9"/>
  <c r="D40" i="9"/>
  <c r="B40" i="9"/>
  <c r="E39" i="9"/>
  <c r="D39" i="9"/>
  <c r="B39" i="9"/>
  <c r="E38" i="9"/>
  <c r="D38" i="9"/>
  <c r="B38" i="9"/>
  <c r="E37" i="9"/>
  <c r="D37" i="9"/>
  <c r="B37" i="9"/>
  <c r="E36" i="9"/>
  <c r="D36" i="9"/>
  <c r="B36" i="9"/>
  <c r="E35" i="9"/>
  <c r="D35" i="9"/>
  <c r="B35" i="9"/>
  <c r="E34" i="9"/>
  <c r="D34" i="9"/>
  <c r="B34" i="9"/>
  <c r="E33" i="9"/>
  <c r="D33" i="9"/>
  <c r="B33" i="9"/>
  <c r="E32" i="9"/>
  <c r="D32" i="9"/>
  <c r="B32" i="9"/>
  <c r="E31" i="9"/>
  <c r="D31" i="9"/>
  <c r="B31" i="9"/>
  <c r="E30" i="9"/>
  <c r="D30" i="9"/>
  <c r="B30" i="9"/>
  <c r="E29" i="9"/>
  <c r="D29" i="9"/>
  <c r="B29" i="9"/>
  <c r="E28" i="9"/>
  <c r="D28" i="9"/>
  <c r="B28" i="9"/>
  <c r="E27" i="9"/>
  <c r="D27" i="9"/>
  <c r="B27" i="9"/>
  <c r="E26" i="9"/>
  <c r="D26" i="9"/>
  <c r="B26" i="9"/>
  <c r="E25" i="9"/>
  <c r="D25" i="9"/>
  <c r="B25" i="9"/>
  <c r="E24" i="9"/>
  <c r="D24" i="9"/>
  <c r="B24" i="9"/>
  <c r="E23" i="9"/>
  <c r="D23" i="9"/>
  <c r="B23" i="9"/>
  <c r="E22" i="9"/>
  <c r="D22" i="9"/>
  <c r="B22" i="9"/>
  <c r="E21" i="9"/>
  <c r="D21" i="9"/>
  <c r="B21" i="9"/>
  <c r="E20" i="9"/>
  <c r="D20" i="9"/>
  <c r="B20" i="9"/>
  <c r="E19" i="9"/>
  <c r="D19" i="9"/>
  <c r="B19" i="9"/>
  <c r="E18" i="9"/>
  <c r="D18" i="9"/>
  <c r="B18" i="9"/>
  <c r="E17" i="9"/>
  <c r="D17" i="9"/>
  <c r="B17" i="9"/>
  <c r="E16" i="9"/>
  <c r="D16" i="9"/>
  <c r="B16" i="9"/>
  <c r="E15" i="9"/>
  <c r="D15" i="9"/>
  <c r="B15" i="9"/>
  <c r="E14" i="9"/>
  <c r="D14" i="9"/>
  <c r="B14" i="9"/>
  <c r="E13" i="9"/>
  <c r="D13" i="9"/>
  <c r="B13" i="9"/>
  <c r="E12" i="9"/>
  <c r="D12" i="9"/>
  <c r="B12" i="9"/>
  <c r="E11" i="9"/>
  <c r="D11" i="9"/>
  <c r="B11" i="9"/>
  <c r="E10" i="9"/>
  <c r="D10" i="9"/>
  <c r="B10" i="9"/>
  <c r="E9" i="9"/>
  <c r="D9" i="9"/>
  <c r="B9" i="9"/>
  <c r="E8" i="9"/>
  <c r="D8" i="9"/>
  <c r="B8" i="9"/>
  <c r="E7" i="9"/>
  <c r="D7" i="9"/>
  <c r="B7" i="9"/>
  <c r="E6" i="9"/>
  <c r="D6" i="9"/>
  <c r="B6" i="9"/>
  <c r="E5" i="9"/>
  <c r="D5" i="9"/>
  <c r="B5" i="9"/>
  <c r="E4" i="9"/>
  <c r="D4" i="9"/>
  <c r="B4" i="9"/>
  <c r="E3" i="9"/>
  <c r="D3" i="9"/>
  <c r="B3" i="9"/>
  <c r="E2" i="9"/>
  <c r="D2" i="9"/>
  <c r="B2" i="9"/>
  <c r="F2" i="9" l="1"/>
  <c r="F52" i="9"/>
  <c r="J26" i="11"/>
  <c r="I48" i="11"/>
  <c r="I49" i="11"/>
  <c r="I23" i="11"/>
  <c r="I14" i="11"/>
  <c r="I44" i="11"/>
  <c r="I34" i="11"/>
  <c r="J36" i="11"/>
  <c r="I5" i="11"/>
  <c r="I33" i="11"/>
  <c r="J42" i="11"/>
  <c r="J40" i="11"/>
  <c r="I40" i="11"/>
  <c r="J8" i="11"/>
  <c r="I8" i="11"/>
  <c r="J7" i="11"/>
  <c r="I7" i="11"/>
  <c r="J17" i="11"/>
  <c r="I25" i="11"/>
  <c r="J27" i="11"/>
  <c r="I27" i="11"/>
  <c r="I32" i="11"/>
  <c r="I3" i="11"/>
  <c r="I20" i="11"/>
  <c r="I13" i="11"/>
  <c r="F3" i="9"/>
  <c r="H3" i="9" s="1"/>
  <c r="K3" i="9" s="1"/>
  <c r="F11" i="9"/>
  <c r="H11" i="9" s="1"/>
  <c r="K11" i="9" s="1"/>
  <c r="F19" i="9"/>
  <c r="F27" i="9"/>
  <c r="F35" i="9"/>
  <c r="F43" i="9"/>
  <c r="H43" i="9" s="1"/>
  <c r="K43" i="9" s="1"/>
  <c r="F51" i="9"/>
  <c r="F13" i="9"/>
  <c r="H13" i="9" s="1"/>
  <c r="J13" i="9" s="1"/>
  <c r="B4" i="15" s="1"/>
  <c r="F29" i="9"/>
  <c r="F45" i="9"/>
  <c r="H45" i="9" s="1"/>
  <c r="K45" i="9" s="1"/>
  <c r="F8" i="9"/>
  <c r="F32" i="9"/>
  <c r="F9" i="9"/>
  <c r="F33" i="9"/>
  <c r="F10" i="9"/>
  <c r="F34" i="9"/>
  <c r="H34" i="9" s="1"/>
  <c r="K34" i="9" s="1"/>
  <c r="F4" i="9"/>
  <c r="H4" i="9" s="1"/>
  <c r="K4" i="9" s="1"/>
  <c r="F12" i="9"/>
  <c r="H12" i="9" s="1"/>
  <c r="K12" i="9" s="1"/>
  <c r="F20" i="9"/>
  <c r="F28" i="9"/>
  <c r="H28" i="9" s="1"/>
  <c r="K28" i="9" s="1"/>
  <c r="F36" i="9"/>
  <c r="F44" i="9"/>
  <c r="H2" i="9"/>
  <c r="J2" i="9" s="1"/>
  <c r="D7" i="15" s="1"/>
  <c r="F5" i="9"/>
  <c r="H5" i="9" s="1"/>
  <c r="J5" i="9" s="1"/>
  <c r="B3" i="15" s="1"/>
  <c r="F21" i="9"/>
  <c r="H21" i="9" s="1"/>
  <c r="J21" i="9" s="1"/>
  <c r="D9" i="15" s="1"/>
  <c r="F37" i="9"/>
  <c r="F39" i="9"/>
  <c r="F16" i="9"/>
  <c r="F48" i="9"/>
  <c r="F17" i="9"/>
  <c r="F41" i="9"/>
  <c r="F18" i="9"/>
  <c r="F50" i="9"/>
  <c r="F6" i="9"/>
  <c r="H6" i="9" s="1"/>
  <c r="K6" i="9" s="1"/>
  <c r="F14" i="9"/>
  <c r="F22" i="9"/>
  <c r="F30" i="9"/>
  <c r="H30" i="9" s="1"/>
  <c r="K30" i="9" s="1"/>
  <c r="F38" i="9"/>
  <c r="F46" i="9"/>
  <c r="F7" i="9"/>
  <c r="F15" i="9"/>
  <c r="F23" i="9"/>
  <c r="F31" i="9"/>
  <c r="F47" i="9"/>
  <c r="F24" i="9"/>
  <c r="F40" i="9"/>
  <c r="H40" i="9" s="1"/>
  <c r="K40" i="9" s="1"/>
  <c r="F25" i="9"/>
  <c r="F49" i="9"/>
  <c r="F26" i="9"/>
  <c r="F42" i="9"/>
  <c r="H14" i="9"/>
  <c r="K14" i="9" s="1"/>
  <c r="H19" i="9"/>
  <c r="K19" i="9" s="1"/>
  <c r="H35" i="9"/>
  <c r="K35" i="9" s="1"/>
  <c r="H52" i="9" l="1"/>
  <c r="K5" i="9"/>
  <c r="H7" i="9"/>
  <c r="K7" i="9" s="1"/>
  <c r="K21" i="9"/>
  <c r="I5" i="9"/>
  <c r="I21" i="9"/>
  <c r="K13" i="9"/>
  <c r="I2" i="9"/>
  <c r="I13" i="9"/>
  <c r="K2" i="9"/>
  <c r="H8" i="9"/>
  <c r="K8" i="9" s="1"/>
  <c r="H42" i="9"/>
  <c r="K42" i="9"/>
  <c r="H37" i="9"/>
  <c r="K37" i="9" s="1"/>
  <c r="H49" i="9"/>
  <c r="K49" i="9" s="1"/>
  <c r="H41" i="9"/>
  <c r="K41" i="9" s="1"/>
  <c r="J6" i="9"/>
  <c r="D2" i="15" s="1"/>
  <c r="I6" i="9"/>
  <c r="J30" i="9"/>
  <c r="I30" i="9"/>
  <c r="H33" i="9"/>
  <c r="K33" i="9" s="1"/>
  <c r="J19" i="9"/>
  <c r="B7" i="15" s="1"/>
  <c r="I19" i="9"/>
  <c r="H23" i="9"/>
  <c r="K23" i="9" s="1"/>
  <c r="J45" i="9"/>
  <c r="D21" i="15" s="1"/>
  <c r="I45" i="9"/>
  <c r="H44" i="9"/>
  <c r="K44" i="9" s="1"/>
  <c r="H36" i="9"/>
  <c r="K36" i="9" s="1"/>
  <c r="H50" i="9"/>
  <c r="K50" i="9" s="1"/>
  <c r="H9" i="9"/>
  <c r="K9" i="9" s="1"/>
  <c r="H15" i="9"/>
  <c r="K15" i="9" s="1"/>
  <c r="H18" i="9"/>
  <c r="K18" i="9" s="1"/>
  <c r="H29" i="9"/>
  <c r="K29" i="9" s="1"/>
  <c r="H46" i="9"/>
  <c r="K46" i="9" s="1"/>
  <c r="H10" i="9"/>
  <c r="K10" i="9" s="1"/>
  <c r="J14" i="9"/>
  <c r="B5" i="15" s="1"/>
  <c r="I14" i="9"/>
  <c r="J43" i="9"/>
  <c r="D12" i="15" s="1"/>
  <c r="I43" i="9"/>
  <c r="H27" i="9"/>
  <c r="K27" i="9" s="1"/>
  <c r="J4" i="9"/>
  <c r="B2" i="15" s="1"/>
  <c r="I4" i="9"/>
  <c r="H38" i="9"/>
  <c r="K38" i="9" s="1"/>
  <c r="H48" i="9"/>
  <c r="K48" i="9" s="1"/>
  <c r="H32" i="9"/>
  <c r="K32" i="9"/>
  <c r="J28" i="9"/>
  <c r="B23" i="15" s="1"/>
  <c r="I28" i="9"/>
  <c r="J11" i="9"/>
  <c r="B16" i="15" s="1"/>
  <c r="I11" i="9"/>
  <c r="H39" i="9"/>
  <c r="K39" i="9" s="1"/>
  <c r="H22" i="9"/>
  <c r="K22" i="9" s="1"/>
  <c r="J40" i="9"/>
  <c r="D4" i="15" s="1"/>
  <c r="I40" i="9"/>
  <c r="H25" i="9"/>
  <c r="K25" i="9" s="1"/>
  <c r="J35" i="9"/>
  <c r="I35" i="9"/>
  <c r="I7" i="9"/>
  <c r="H24" i="9"/>
  <c r="K24" i="9" s="1"/>
  <c r="H20" i="9"/>
  <c r="K20" i="9"/>
  <c r="H17" i="9"/>
  <c r="K17" i="9" s="1"/>
  <c r="H31" i="9"/>
  <c r="K31" i="9" s="1"/>
  <c r="J3" i="9"/>
  <c r="I3" i="9"/>
  <c r="J12" i="9"/>
  <c r="B17" i="15" s="1"/>
  <c r="I12" i="9"/>
  <c r="J34" i="9"/>
  <c r="I34" i="9"/>
  <c r="H16" i="9"/>
  <c r="K16" i="9" s="1"/>
  <c r="H26" i="9"/>
  <c r="K26" i="9" s="1"/>
  <c r="H47" i="9"/>
  <c r="K47" i="9" s="1"/>
  <c r="H51" i="9"/>
  <c r="K51" i="9" s="1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J52" i="9" l="1"/>
  <c r="I52" i="9"/>
  <c r="K52" i="9"/>
  <c r="J7" i="9"/>
  <c r="D15" i="15" s="1"/>
  <c r="J31" i="9"/>
  <c r="D18" i="15" s="1"/>
  <c r="I31" i="9"/>
  <c r="J51" i="9"/>
  <c r="D28" i="15" s="1"/>
  <c r="I51" i="9"/>
  <c r="J26" i="9"/>
  <c r="D17" i="15" s="1"/>
  <c r="I26" i="9"/>
  <c r="J17" i="9"/>
  <c r="B6" i="15" s="1"/>
  <c r="I17" i="9"/>
  <c r="J22" i="9"/>
  <c r="D10" i="15" s="1"/>
  <c r="I22" i="9"/>
  <c r="J27" i="9"/>
  <c r="B22" i="15" s="1"/>
  <c r="I27" i="9"/>
  <c r="J18" i="9"/>
  <c r="D27" i="15" s="1"/>
  <c r="I18" i="9"/>
  <c r="J36" i="9"/>
  <c r="I36" i="9"/>
  <c r="J37" i="9"/>
  <c r="I37" i="9"/>
  <c r="J32" i="9"/>
  <c r="B9" i="15" s="1"/>
  <c r="I32" i="9"/>
  <c r="J23" i="9"/>
  <c r="D11" i="15" s="1"/>
  <c r="I23" i="9"/>
  <c r="J25" i="9"/>
  <c r="B21" i="15" s="1"/>
  <c r="I25" i="9"/>
  <c r="J48" i="9"/>
  <c r="D24" i="15" s="1"/>
  <c r="I48" i="9"/>
  <c r="J46" i="9"/>
  <c r="D22" i="15" s="1"/>
  <c r="I46" i="9"/>
  <c r="J44" i="9"/>
  <c r="D20" i="15" s="1"/>
  <c r="I44" i="9"/>
  <c r="J20" i="9"/>
  <c r="D8" i="15" s="1"/>
  <c r="I20" i="9"/>
  <c r="J42" i="9"/>
  <c r="B10" i="15" s="1"/>
  <c r="I42" i="9"/>
  <c r="J47" i="9"/>
  <c r="D23" i="15" s="1"/>
  <c r="I47" i="9"/>
  <c r="J38" i="9"/>
  <c r="I38" i="9"/>
  <c r="J9" i="9"/>
  <c r="B14" i="15" s="1"/>
  <c r="I9" i="9"/>
  <c r="J41" i="9"/>
  <c r="D19" i="15" s="1"/>
  <c r="I41" i="9"/>
  <c r="J8" i="9"/>
  <c r="B13" i="15" s="1"/>
  <c r="I8" i="9"/>
  <c r="J10" i="9"/>
  <c r="B15" i="15" s="1"/>
  <c r="I10" i="9"/>
  <c r="J50" i="9"/>
  <c r="B27" i="15" s="1"/>
  <c r="I50" i="9"/>
  <c r="J49" i="9"/>
  <c r="B26" i="15" s="1"/>
  <c r="I49" i="9"/>
  <c r="J16" i="9"/>
  <c r="B18" i="15" s="1"/>
  <c r="I16" i="9"/>
  <c r="J39" i="9"/>
  <c r="D3" i="15" s="1"/>
  <c r="I39" i="9"/>
  <c r="J15" i="9"/>
  <c r="I15" i="9"/>
  <c r="J24" i="9"/>
  <c r="D16" i="15" s="1"/>
  <c r="I24" i="9"/>
  <c r="J29" i="9"/>
  <c r="B8" i="15" s="1"/>
  <c r="I29" i="9"/>
  <c r="J33" i="9"/>
  <c r="I33" i="9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F9" i="7" l="1"/>
  <c r="F17" i="7"/>
  <c r="F25" i="7"/>
  <c r="F56" i="7"/>
  <c r="F16" i="7"/>
  <c r="F24" i="7"/>
  <c r="F7" i="7"/>
  <c r="F23" i="7"/>
  <c r="F31" i="7"/>
  <c r="F47" i="7"/>
  <c r="F8" i="7"/>
  <c r="F32" i="7"/>
  <c r="F48" i="7"/>
  <c r="F15" i="7"/>
  <c r="F39" i="7"/>
  <c r="F55" i="7"/>
  <c r="F40" i="7"/>
  <c r="F52" i="7"/>
  <c r="F54" i="7"/>
  <c r="F44" i="7"/>
  <c r="F3" i="7"/>
  <c r="F41" i="7"/>
  <c r="F28" i="7"/>
  <c r="F53" i="7"/>
  <c r="F12" i="7"/>
  <c r="F60" i="7"/>
  <c r="F36" i="7"/>
  <c r="F33" i="7"/>
  <c r="F51" i="7"/>
  <c r="F46" i="7"/>
  <c r="F45" i="7"/>
  <c r="F59" i="7"/>
  <c r="F20" i="7"/>
  <c r="F4" i="7"/>
  <c r="F38" i="7"/>
  <c r="F37" i="7"/>
  <c r="F43" i="7"/>
  <c r="F58" i="7"/>
  <c r="F30" i="7"/>
  <c r="F29" i="7"/>
  <c r="F35" i="7"/>
  <c r="F50" i="7"/>
  <c r="F42" i="7"/>
  <c r="F14" i="7"/>
  <c r="F19" i="7"/>
  <c r="F18" i="7"/>
  <c r="F6" i="7"/>
  <c r="F11" i="7"/>
  <c r="F10" i="7"/>
  <c r="F49" i="7"/>
  <c r="F22" i="7"/>
  <c r="F21" i="7"/>
  <c r="F27" i="7"/>
  <c r="F34" i="7"/>
  <c r="F26" i="7"/>
  <c r="F13" i="7"/>
  <c r="F57" i="7"/>
  <c r="F5" i="7"/>
  <c r="E2" i="7"/>
  <c r="F2" i="7" s="1"/>
  <c r="H2" i="7" s="1"/>
  <c r="H58" i="7" l="1"/>
  <c r="H38" i="7"/>
  <c r="H30" i="7"/>
  <c r="H55" i="7"/>
  <c r="K55" i="7" s="1"/>
  <c r="H32" i="7"/>
  <c r="H42" i="7"/>
  <c r="J42" i="7" s="1"/>
  <c r="H3" i="7"/>
  <c r="H36" i="7"/>
  <c r="H25" i="7"/>
  <c r="K25" i="7" s="1"/>
  <c r="H34" i="7"/>
  <c r="H12" i="7"/>
  <c r="H28" i="7"/>
  <c r="H37" i="7"/>
  <c r="H56" i="7"/>
  <c r="H23" i="7"/>
  <c r="I23" i="7" s="1"/>
  <c r="H21" i="7"/>
  <c r="H39" i="7"/>
  <c r="H19" i="7"/>
  <c r="K19" i="7" s="1"/>
  <c r="H47" i="7"/>
  <c r="I47" i="7" s="1"/>
  <c r="H13" i="7"/>
  <c r="K13" i="7" s="1"/>
  <c r="H43" i="7"/>
  <c r="B51" i="1"/>
  <c r="D51" i="1"/>
  <c r="E51" i="1"/>
  <c r="D2" i="1"/>
  <c r="E2" i="1"/>
  <c r="D3" i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H22" i="7" l="1"/>
  <c r="J22" i="7" s="1"/>
  <c r="K37" i="7"/>
  <c r="H44" i="7"/>
  <c r="J44" i="7" s="1"/>
  <c r="K2" i="7"/>
  <c r="H8" i="7"/>
  <c r="K8" i="7" s="1"/>
  <c r="H7" i="7"/>
  <c r="K7" i="7" s="1"/>
  <c r="H27" i="7"/>
  <c r="K27" i="7" s="1"/>
  <c r="K21" i="7"/>
  <c r="H40" i="7"/>
  <c r="K47" i="7"/>
  <c r="K43" i="7"/>
  <c r="J47" i="7"/>
  <c r="K12" i="7"/>
  <c r="H59" i="7"/>
  <c r="J59" i="7" s="1"/>
  <c r="H33" i="7"/>
  <c r="J33" i="7" s="1"/>
  <c r="H4" i="7"/>
  <c r="I4" i="7" s="1"/>
  <c r="H41" i="7"/>
  <c r="J41" i="7" s="1"/>
  <c r="K58" i="7"/>
  <c r="H53" i="7"/>
  <c r="I53" i="7" s="1"/>
  <c r="J23" i="7"/>
  <c r="K30" i="7"/>
  <c r="K56" i="7"/>
  <c r="K23" i="7"/>
  <c r="I42" i="7"/>
  <c r="H46" i="7"/>
  <c r="I46" i="7" s="1"/>
  <c r="K36" i="7"/>
  <c r="H16" i="7"/>
  <c r="K16" i="7" s="1"/>
  <c r="I56" i="7"/>
  <c r="J56" i="7"/>
  <c r="H57" i="7"/>
  <c r="K57" i="7" s="1"/>
  <c r="I55" i="7"/>
  <c r="J55" i="7"/>
  <c r="H54" i="7"/>
  <c r="H60" i="7"/>
  <c r="K60" i="7" s="1"/>
  <c r="H52" i="7"/>
  <c r="K52" i="7" s="1"/>
  <c r="K34" i="7"/>
  <c r="I58" i="7"/>
  <c r="J58" i="7"/>
  <c r="K28" i="7"/>
  <c r="K38" i="7"/>
  <c r="K39" i="7"/>
  <c r="K42" i="7"/>
  <c r="K32" i="7"/>
  <c r="K3" i="7"/>
  <c r="J38" i="7"/>
  <c r="I38" i="7"/>
  <c r="H50" i="7"/>
  <c r="K50" i="7" s="1"/>
  <c r="H9" i="7"/>
  <c r="K9" i="7" s="1"/>
  <c r="H11" i="7"/>
  <c r="K11" i="7" s="1"/>
  <c r="H31" i="7"/>
  <c r="K31" i="7" s="1"/>
  <c r="J25" i="7"/>
  <c r="I25" i="7"/>
  <c r="J19" i="7"/>
  <c r="I19" i="7"/>
  <c r="J32" i="7"/>
  <c r="I32" i="7"/>
  <c r="H51" i="7"/>
  <c r="K51" i="7" s="1"/>
  <c r="J12" i="7"/>
  <c r="I12" i="7"/>
  <c r="H26" i="7"/>
  <c r="K26" i="7"/>
  <c r="J36" i="7"/>
  <c r="I36" i="7"/>
  <c r="J34" i="7"/>
  <c r="I34" i="7"/>
  <c r="H18" i="7"/>
  <c r="K18" i="7" s="1"/>
  <c r="H48" i="7"/>
  <c r="K48" i="7" s="1"/>
  <c r="H20" i="7"/>
  <c r="K20" i="7"/>
  <c r="H14" i="7"/>
  <c r="K14" i="7" s="1"/>
  <c r="J39" i="7"/>
  <c r="I39" i="7"/>
  <c r="H10" i="7"/>
  <c r="K10" i="7" s="1"/>
  <c r="H5" i="7"/>
  <c r="K5" i="7" s="1"/>
  <c r="H6" i="7"/>
  <c r="K6" i="7" s="1"/>
  <c r="H45" i="7"/>
  <c r="K45" i="7" s="1"/>
  <c r="H49" i="7"/>
  <c r="K49" i="7" s="1"/>
  <c r="J21" i="7"/>
  <c r="I21" i="7"/>
  <c r="J43" i="7"/>
  <c r="I43" i="7"/>
  <c r="J30" i="7"/>
  <c r="I30" i="7"/>
  <c r="J3" i="7"/>
  <c r="I3" i="7"/>
  <c r="H29" i="7"/>
  <c r="K29" i="7" s="1"/>
  <c r="H17" i="7"/>
  <c r="K17" i="7" s="1"/>
  <c r="J28" i="7"/>
  <c r="I28" i="7"/>
  <c r="J37" i="7"/>
  <c r="I37" i="7"/>
  <c r="H35" i="7"/>
  <c r="K35" i="7" s="1"/>
  <c r="J13" i="7"/>
  <c r="I13" i="7"/>
  <c r="H24" i="7"/>
  <c r="K24" i="7" s="1"/>
  <c r="H15" i="7"/>
  <c r="K15" i="7" s="1"/>
  <c r="F51" i="1"/>
  <c r="H51" i="1" s="1"/>
  <c r="J51" i="1" s="1"/>
  <c r="K40" i="7" l="1"/>
  <c r="J40" i="7"/>
  <c r="K41" i="7"/>
  <c r="K59" i="7"/>
  <c r="K44" i="7"/>
  <c r="K33" i="7"/>
  <c r="K4" i="7"/>
  <c r="K22" i="7"/>
  <c r="K53" i="7"/>
  <c r="I22" i="7"/>
  <c r="I44" i="7"/>
  <c r="J8" i="7"/>
  <c r="I8" i="7"/>
  <c r="I40" i="7"/>
  <c r="J2" i="7"/>
  <c r="I2" i="7"/>
  <c r="J27" i="7"/>
  <c r="I27" i="7"/>
  <c r="J7" i="7"/>
  <c r="I7" i="7"/>
  <c r="I59" i="7"/>
  <c r="I33" i="7"/>
  <c r="J4" i="7"/>
  <c r="I41" i="7"/>
  <c r="K46" i="7"/>
  <c r="J53" i="7"/>
  <c r="I16" i="7"/>
  <c r="J46" i="7"/>
  <c r="J16" i="7"/>
  <c r="J54" i="7"/>
  <c r="I54" i="7"/>
  <c r="I57" i="7"/>
  <c r="J57" i="7"/>
  <c r="K54" i="7"/>
  <c r="I60" i="7"/>
  <c r="J60" i="7"/>
  <c r="I52" i="7"/>
  <c r="J52" i="7"/>
  <c r="J10" i="7"/>
  <c r="I10" i="7"/>
  <c r="J17" i="7"/>
  <c r="I17" i="7"/>
  <c r="J6" i="7"/>
  <c r="I6" i="7"/>
  <c r="J9" i="7"/>
  <c r="I9" i="7"/>
  <c r="I48" i="7"/>
  <c r="J48" i="7"/>
  <c r="I51" i="7"/>
  <c r="J51" i="7"/>
  <c r="J11" i="7"/>
  <c r="I11" i="7"/>
  <c r="J45" i="7"/>
  <c r="I45" i="7"/>
  <c r="J20" i="7"/>
  <c r="I20" i="7"/>
  <c r="J14" i="7"/>
  <c r="I14" i="7"/>
  <c r="J35" i="7"/>
  <c r="I35" i="7"/>
  <c r="J29" i="7"/>
  <c r="I29" i="7"/>
  <c r="J18" i="7"/>
  <c r="I18" i="7"/>
  <c r="J26" i="7"/>
  <c r="I26" i="7"/>
  <c r="I50" i="7"/>
  <c r="J50" i="7"/>
  <c r="J15" i="7"/>
  <c r="I15" i="7"/>
  <c r="J5" i="7"/>
  <c r="I5" i="7"/>
  <c r="J24" i="7"/>
  <c r="I24" i="7"/>
  <c r="I49" i="7"/>
  <c r="J49" i="7"/>
  <c r="J31" i="7"/>
  <c r="I31" i="7"/>
  <c r="K51" i="1"/>
  <c r="E51" i="4"/>
  <c r="D51" i="4"/>
  <c r="B51" i="4"/>
  <c r="E50" i="4"/>
  <c r="D50" i="4"/>
  <c r="B50" i="4"/>
  <c r="E49" i="4"/>
  <c r="D49" i="4"/>
  <c r="B49" i="4"/>
  <c r="E48" i="4"/>
  <c r="D48" i="4"/>
  <c r="B48" i="4"/>
  <c r="E47" i="4"/>
  <c r="D47" i="4"/>
  <c r="B47" i="4"/>
  <c r="E46" i="4"/>
  <c r="D46" i="4"/>
  <c r="B46" i="4"/>
  <c r="E45" i="4"/>
  <c r="D45" i="4"/>
  <c r="B45" i="4"/>
  <c r="E44" i="4"/>
  <c r="D44" i="4"/>
  <c r="B44" i="4"/>
  <c r="E43" i="4"/>
  <c r="D43" i="4"/>
  <c r="B43" i="4"/>
  <c r="E42" i="4"/>
  <c r="D42" i="4"/>
  <c r="B42" i="4"/>
  <c r="E41" i="4"/>
  <c r="D41" i="4"/>
  <c r="B41" i="4"/>
  <c r="H40" i="4"/>
  <c r="J40" i="4" s="1"/>
  <c r="E40" i="4"/>
  <c r="D40" i="4"/>
  <c r="B40" i="4"/>
  <c r="E39" i="4"/>
  <c r="D39" i="4"/>
  <c r="B39" i="4"/>
  <c r="E38" i="4"/>
  <c r="D38" i="4"/>
  <c r="B38" i="4"/>
  <c r="E37" i="4"/>
  <c r="D37" i="4"/>
  <c r="B37" i="4"/>
  <c r="E36" i="4"/>
  <c r="D36" i="4"/>
  <c r="B36" i="4"/>
  <c r="E35" i="4"/>
  <c r="D35" i="4"/>
  <c r="B35" i="4"/>
  <c r="E34" i="4"/>
  <c r="D34" i="4"/>
  <c r="B34" i="4"/>
  <c r="E33" i="4"/>
  <c r="D33" i="4"/>
  <c r="B33" i="4"/>
  <c r="E32" i="4"/>
  <c r="D32" i="4"/>
  <c r="B32" i="4"/>
  <c r="E31" i="4"/>
  <c r="D31" i="4"/>
  <c r="B31" i="4"/>
  <c r="E30" i="4"/>
  <c r="D30" i="4"/>
  <c r="B30" i="4"/>
  <c r="E29" i="4"/>
  <c r="D29" i="4"/>
  <c r="B29" i="4"/>
  <c r="E28" i="4"/>
  <c r="D28" i="4"/>
  <c r="B28" i="4"/>
  <c r="H27" i="4"/>
  <c r="I27" i="4" s="1"/>
  <c r="E27" i="4"/>
  <c r="D27" i="4"/>
  <c r="B27" i="4"/>
  <c r="E26" i="4"/>
  <c r="D26" i="4"/>
  <c r="B26" i="4"/>
  <c r="E25" i="4"/>
  <c r="D25" i="4"/>
  <c r="B25" i="4"/>
  <c r="E24" i="4"/>
  <c r="D24" i="4"/>
  <c r="B24" i="4"/>
  <c r="E23" i="4"/>
  <c r="D23" i="4"/>
  <c r="B23" i="4"/>
  <c r="E22" i="4"/>
  <c r="D22" i="4"/>
  <c r="B22" i="4"/>
  <c r="E21" i="4"/>
  <c r="D21" i="4"/>
  <c r="B21" i="4"/>
  <c r="E20" i="4"/>
  <c r="D20" i="4"/>
  <c r="B20" i="4"/>
  <c r="E19" i="4"/>
  <c r="D19" i="4"/>
  <c r="B19" i="4"/>
  <c r="E18" i="4"/>
  <c r="D18" i="4"/>
  <c r="B18" i="4"/>
  <c r="E17" i="4"/>
  <c r="D17" i="4"/>
  <c r="B17" i="4"/>
  <c r="E16" i="4"/>
  <c r="D16" i="4"/>
  <c r="B16" i="4"/>
  <c r="E15" i="4"/>
  <c r="D15" i="4"/>
  <c r="B15" i="4"/>
  <c r="E14" i="4"/>
  <c r="D14" i="4"/>
  <c r="B14" i="4"/>
  <c r="E13" i="4"/>
  <c r="D13" i="4"/>
  <c r="B13" i="4"/>
  <c r="E12" i="4"/>
  <c r="D12" i="4"/>
  <c r="B12" i="4"/>
  <c r="E11" i="4"/>
  <c r="D11" i="4"/>
  <c r="B11" i="4"/>
  <c r="E10" i="4"/>
  <c r="D10" i="4"/>
  <c r="B10" i="4"/>
  <c r="E9" i="4"/>
  <c r="D9" i="4"/>
  <c r="B9" i="4"/>
  <c r="H8" i="4"/>
  <c r="I8" i="4" s="1"/>
  <c r="E8" i="4"/>
  <c r="D8" i="4"/>
  <c r="B8" i="4"/>
  <c r="H7" i="4"/>
  <c r="I7" i="4" s="1"/>
  <c r="E7" i="4"/>
  <c r="D7" i="4"/>
  <c r="B7" i="4"/>
  <c r="E6" i="4"/>
  <c r="D6" i="4"/>
  <c r="B6" i="4"/>
  <c r="E5" i="4"/>
  <c r="D5" i="4"/>
  <c r="B5" i="4"/>
  <c r="E4" i="4"/>
  <c r="D4" i="4"/>
  <c r="B4" i="4"/>
  <c r="E3" i="4"/>
  <c r="D3" i="4"/>
  <c r="B3" i="4"/>
  <c r="H2" i="4"/>
  <c r="I2" i="4" s="1"/>
  <c r="E2" i="4"/>
  <c r="D2" i="4"/>
  <c r="B2" i="4"/>
  <c r="F2" i="4" l="1"/>
  <c r="K2" i="4" s="1"/>
  <c r="I40" i="4"/>
  <c r="J8" i="4"/>
  <c r="J7" i="4"/>
  <c r="J27" i="4"/>
  <c r="F7" i="4"/>
  <c r="K7" i="4" s="1"/>
  <c r="F3" i="4"/>
  <c r="K3" i="4" s="1"/>
  <c r="F5" i="4"/>
  <c r="K5" i="4" s="1"/>
  <c r="J2" i="4"/>
  <c r="F12" i="4"/>
  <c r="F19" i="4"/>
  <c r="F22" i="4"/>
  <c r="F17" i="4"/>
  <c r="F25" i="4"/>
  <c r="F50" i="4"/>
  <c r="F9" i="4"/>
  <c r="F15" i="4"/>
  <c r="F48" i="4"/>
  <c r="F18" i="4"/>
  <c r="F26" i="4"/>
  <c r="F28" i="4"/>
  <c r="F36" i="4"/>
  <c r="F51" i="4"/>
  <c r="F10" i="4"/>
  <c r="F27" i="4"/>
  <c r="K27" i="4" s="1"/>
  <c r="F29" i="4"/>
  <c r="F37" i="4"/>
  <c r="F35" i="4"/>
  <c r="F38" i="4"/>
  <c r="F11" i="4"/>
  <c r="F33" i="4"/>
  <c r="F46" i="4"/>
  <c r="F45" i="4"/>
  <c r="F44" i="4"/>
  <c r="F43" i="4"/>
  <c r="F42" i="4"/>
  <c r="F41" i="4"/>
  <c r="F40" i="4"/>
  <c r="K40" i="4" s="1"/>
  <c r="F4" i="4"/>
  <c r="F6" i="4"/>
  <c r="F21" i="4"/>
  <c r="F31" i="4"/>
  <c r="F39" i="4"/>
  <c r="F14" i="4"/>
  <c r="F32" i="4"/>
  <c r="F47" i="4"/>
  <c r="H5" i="4"/>
  <c r="F20" i="4"/>
  <c r="F30" i="4"/>
  <c r="F13" i="4"/>
  <c r="F23" i="4"/>
  <c r="F8" i="4"/>
  <c r="K8" i="4" s="1"/>
  <c r="F16" i="4"/>
  <c r="F24" i="4"/>
  <c r="F34" i="4"/>
  <c r="F49" i="4"/>
  <c r="H3" i="4" l="1"/>
  <c r="I3" i="4" s="1"/>
  <c r="K41" i="4"/>
  <c r="H41" i="4"/>
  <c r="K38" i="4"/>
  <c r="H38" i="4"/>
  <c r="K51" i="4"/>
  <c r="H51" i="4"/>
  <c r="K50" i="4"/>
  <c r="H50" i="4"/>
  <c r="K9" i="4"/>
  <c r="H9" i="4"/>
  <c r="K14" i="4"/>
  <c r="H14" i="4"/>
  <c r="K42" i="4"/>
  <c r="H42" i="4"/>
  <c r="K35" i="4"/>
  <c r="H35" i="4"/>
  <c r="K36" i="4"/>
  <c r="H36" i="4"/>
  <c r="K25" i="4"/>
  <c r="H25" i="4"/>
  <c r="K15" i="4"/>
  <c r="H15" i="4"/>
  <c r="K11" i="4"/>
  <c r="H11" i="4"/>
  <c r="K23" i="4"/>
  <c r="H23" i="4"/>
  <c r="K39" i="4"/>
  <c r="H39" i="4"/>
  <c r="J3" i="4"/>
  <c r="K28" i="4"/>
  <c r="H28" i="4"/>
  <c r="K17" i="4"/>
  <c r="H17" i="4"/>
  <c r="K24" i="4"/>
  <c r="H24" i="4"/>
  <c r="K33" i="4"/>
  <c r="H33" i="4"/>
  <c r="K47" i="4"/>
  <c r="H47" i="4"/>
  <c r="K10" i="4"/>
  <c r="H10" i="4"/>
  <c r="K32" i="4"/>
  <c r="H32" i="4"/>
  <c r="K13" i="4"/>
  <c r="H13" i="4"/>
  <c r="K43" i="4"/>
  <c r="H43" i="4"/>
  <c r="K30" i="4"/>
  <c r="H30" i="4"/>
  <c r="K31" i="4"/>
  <c r="H31" i="4"/>
  <c r="K44" i="4"/>
  <c r="H44" i="4"/>
  <c r="K26" i="4"/>
  <c r="H26" i="4"/>
  <c r="K22" i="4"/>
  <c r="G46" i="4"/>
  <c r="H46" i="4" s="1"/>
  <c r="H22" i="4"/>
  <c r="K49" i="4"/>
  <c r="H49" i="4"/>
  <c r="K20" i="4"/>
  <c r="H20" i="4"/>
  <c r="K21" i="4"/>
  <c r="H21" i="4"/>
  <c r="K45" i="4"/>
  <c r="H45" i="4"/>
  <c r="K37" i="4"/>
  <c r="H37" i="4"/>
  <c r="K18" i="4"/>
  <c r="H18" i="4"/>
  <c r="K19" i="4"/>
  <c r="H19" i="4"/>
  <c r="K4" i="4"/>
  <c r="H4" i="4"/>
  <c r="K16" i="4"/>
  <c r="H16" i="4"/>
  <c r="K34" i="4"/>
  <c r="H34" i="4"/>
  <c r="I5" i="4"/>
  <c r="J5" i="4"/>
  <c r="K6" i="4"/>
  <c r="H6" i="4"/>
  <c r="K29" i="4"/>
  <c r="H29" i="4"/>
  <c r="K48" i="4"/>
  <c r="H48" i="4"/>
  <c r="K12" i="4"/>
  <c r="H12" i="4"/>
  <c r="K46" i="4" l="1"/>
  <c r="J48" i="4"/>
  <c r="I48" i="4"/>
  <c r="J26" i="4"/>
  <c r="I26" i="4"/>
  <c r="J43" i="4"/>
  <c r="I43" i="4"/>
  <c r="I11" i="4"/>
  <c r="J11" i="4"/>
  <c r="J35" i="4"/>
  <c r="I35" i="4"/>
  <c r="J34" i="4"/>
  <c r="I34" i="4"/>
  <c r="J20" i="4"/>
  <c r="I20" i="4"/>
  <c r="J44" i="4"/>
  <c r="I44" i="4"/>
  <c r="J42" i="4"/>
  <c r="I42" i="4"/>
  <c r="J37" i="4"/>
  <c r="I37" i="4"/>
  <c r="J32" i="4"/>
  <c r="I32" i="4"/>
  <c r="J39" i="4"/>
  <c r="I39" i="4"/>
  <c r="I14" i="4"/>
  <c r="J14" i="4"/>
  <c r="I6" i="4"/>
  <c r="J6" i="4"/>
  <c r="J45" i="4"/>
  <c r="I45" i="4"/>
  <c r="I12" i="4"/>
  <c r="J12" i="4"/>
  <c r="J46" i="4"/>
  <c r="I46" i="4"/>
  <c r="J30" i="4"/>
  <c r="I30" i="4"/>
  <c r="I10" i="4"/>
  <c r="J10" i="4"/>
  <c r="J17" i="4"/>
  <c r="I17" i="4"/>
  <c r="J23" i="4"/>
  <c r="I23" i="4"/>
  <c r="J36" i="4"/>
  <c r="I36" i="4"/>
  <c r="I9" i="4"/>
  <c r="J9" i="4"/>
  <c r="J41" i="4"/>
  <c r="I41" i="4"/>
  <c r="J47" i="4"/>
  <c r="I47" i="4"/>
  <c r="J28" i="4"/>
  <c r="I28" i="4"/>
  <c r="J50" i="4"/>
  <c r="I50" i="4"/>
  <c r="J18" i="4"/>
  <c r="I18" i="4"/>
  <c r="J29" i="4"/>
  <c r="I29" i="4"/>
  <c r="I13" i="4"/>
  <c r="J13" i="4"/>
  <c r="J33" i="4"/>
  <c r="I33" i="4"/>
  <c r="J15" i="4"/>
  <c r="I15" i="4"/>
  <c r="J51" i="4"/>
  <c r="I51" i="4"/>
  <c r="J16" i="4"/>
  <c r="I16" i="4"/>
  <c r="J49" i="4"/>
  <c r="I49" i="4"/>
  <c r="J31" i="4"/>
  <c r="I31" i="4"/>
  <c r="J24" i="4"/>
  <c r="I24" i="4"/>
  <c r="J25" i="4"/>
  <c r="I25" i="4"/>
  <c r="J38" i="4"/>
  <c r="I38" i="4"/>
  <c r="I4" i="4"/>
  <c r="J4" i="4"/>
  <c r="J22" i="4"/>
  <c r="I22" i="4"/>
  <c r="J19" i="4"/>
  <c r="I19" i="4"/>
  <c r="J21" i="4"/>
  <c r="I21" i="4"/>
  <c r="B53" i="3" l="1"/>
  <c r="B54" i="3"/>
  <c r="D53" i="3"/>
  <c r="D54" i="3"/>
  <c r="E53" i="3"/>
  <c r="E54" i="3"/>
  <c r="B51" i="3"/>
  <c r="B52" i="3"/>
  <c r="D51" i="3"/>
  <c r="D52" i="3"/>
  <c r="E51" i="3"/>
  <c r="E52" i="3"/>
  <c r="E50" i="3"/>
  <c r="D50" i="3"/>
  <c r="B50" i="3"/>
  <c r="E49" i="3"/>
  <c r="D49" i="3"/>
  <c r="B49" i="3"/>
  <c r="E48" i="3"/>
  <c r="D48" i="3"/>
  <c r="B48" i="3"/>
  <c r="E47" i="3"/>
  <c r="D47" i="3"/>
  <c r="B47" i="3"/>
  <c r="E46" i="3"/>
  <c r="D46" i="3"/>
  <c r="B46" i="3"/>
  <c r="E45" i="3"/>
  <c r="D45" i="3"/>
  <c r="B45" i="3"/>
  <c r="E44" i="3"/>
  <c r="D44" i="3"/>
  <c r="B44" i="3"/>
  <c r="E43" i="3"/>
  <c r="D43" i="3"/>
  <c r="B43" i="3"/>
  <c r="E42" i="3"/>
  <c r="D42" i="3"/>
  <c r="B42" i="3"/>
  <c r="E41" i="3"/>
  <c r="D41" i="3"/>
  <c r="B41" i="3"/>
  <c r="E40" i="3"/>
  <c r="D40" i="3"/>
  <c r="B40" i="3"/>
  <c r="E39" i="3"/>
  <c r="D39" i="3"/>
  <c r="B39" i="3"/>
  <c r="E38" i="3"/>
  <c r="D38" i="3"/>
  <c r="B38" i="3"/>
  <c r="E37" i="3"/>
  <c r="D37" i="3"/>
  <c r="B37" i="3"/>
  <c r="E36" i="3"/>
  <c r="D36" i="3"/>
  <c r="B36" i="3"/>
  <c r="E35" i="3"/>
  <c r="D35" i="3"/>
  <c r="B35" i="3"/>
  <c r="E34" i="3"/>
  <c r="D34" i="3"/>
  <c r="B34" i="3"/>
  <c r="E33" i="3"/>
  <c r="D33" i="3"/>
  <c r="B33" i="3"/>
  <c r="E32" i="3"/>
  <c r="D32" i="3"/>
  <c r="B32" i="3"/>
  <c r="E31" i="3"/>
  <c r="D31" i="3"/>
  <c r="B31" i="3"/>
  <c r="E30" i="3"/>
  <c r="D30" i="3"/>
  <c r="B30" i="3"/>
  <c r="E29" i="3"/>
  <c r="D29" i="3"/>
  <c r="B29" i="3"/>
  <c r="E28" i="3"/>
  <c r="D28" i="3"/>
  <c r="B28" i="3"/>
  <c r="E27" i="3"/>
  <c r="D27" i="3"/>
  <c r="B27" i="3"/>
  <c r="E26" i="3"/>
  <c r="D26" i="3"/>
  <c r="B26" i="3"/>
  <c r="E25" i="3"/>
  <c r="D25" i="3"/>
  <c r="B25" i="3"/>
  <c r="E24" i="3"/>
  <c r="D24" i="3"/>
  <c r="B24" i="3"/>
  <c r="E23" i="3"/>
  <c r="D23" i="3"/>
  <c r="B23" i="3"/>
  <c r="E22" i="3"/>
  <c r="D22" i="3"/>
  <c r="B22" i="3"/>
  <c r="E21" i="3"/>
  <c r="D21" i="3"/>
  <c r="B21" i="3"/>
  <c r="E20" i="3"/>
  <c r="D20" i="3"/>
  <c r="B20" i="3"/>
  <c r="E19" i="3"/>
  <c r="D19" i="3"/>
  <c r="B19" i="3"/>
  <c r="E18" i="3"/>
  <c r="D18" i="3"/>
  <c r="B18" i="3"/>
  <c r="E17" i="3"/>
  <c r="D17" i="3"/>
  <c r="B17" i="3"/>
  <c r="E16" i="3"/>
  <c r="D16" i="3"/>
  <c r="B16" i="3"/>
  <c r="E15" i="3"/>
  <c r="D15" i="3"/>
  <c r="B15" i="3"/>
  <c r="E14" i="3"/>
  <c r="D14" i="3"/>
  <c r="B14" i="3"/>
  <c r="E13" i="3"/>
  <c r="D13" i="3"/>
  <c r="B13" i="3"/>
  <c r="E12" i="3"/>
  <c r="D12" i="3"/>
  <c r="B12" i="3"/>
  <c r="E11" i="3"/>
  <c r="D11" i="3"/>
  <c r="B11" i="3"/>
  <c r="E10" i="3"/>
  <c r="D10" i="3"/>
  <c r="B10" i="3"/>
  <c r="E9" i="3"/>
  <c r="D9" i="3"/>
  <c r="B9" i="3"/>
  <c r="E8" i="3"/>
  <c r="D8" i="3"/>
  <c r="B8" i="3"/>
  <c r="E7" i="3"/>
  <c r="D7" i="3"/>
  <c r="B7" i="3"/>
  <c r="E6" i="3"/>
  <c r="D6" i="3"/>
  <c r="B6" i="3"/>
  <c r="E5" i="3"/>
  <c r="D5" i="3"/>
  <c r="B5" i="3"/>
  <c r="E4" i="3"/>
  <c r="D4" i="3"/>
  <c r="B4" i="3"/>
  <c r="E3" i="3"/>
  <c r="D3" i="3"/>
  <c r="B3" i="3"/>
  <c r="E2" i="3"/>
  <c r="D2" i="3"/>
  <c r="B2" i="3"/>
  <c r="F54" i="3" l="1"/>
  <c r="L54" i="3" s="1"/>
  <c r="F53" i="3"/>
  <c r="L53" i="3" s="1"/>
  <c r="F5" i="3"/>
  <c r="L5" i="3" s="1"/>
  <c r="F11" i="3"/>
  <c r="L11" i="3" s="1"/>
  <c r="F19" i="3"/>
  <c r="L19" i="3" s="1"/>
  <c r="F25" i="3"/>
  <c r="L25" i="3" s="1"/>
  <c r="F9" i="3"/>
  <c r="L9" i="3" s="1"/>
  <c r="F13" i="3"/>
  <c r="L13" i="3" s="1"/>
  <c r="F21" i="3"/>
  <c r="L21" i="3" s="1"/>
  <c r="F29" i="3"/>
  <c r="L29" i="3" s="1"/>
  <c r="F7" i="3"/>
  <c r="L7" i="3" s="1"/>
  <c r="F17" i="3"/>
  <c r="L17" i="3" s="1"/>
  <c r="F51" i="3"/>
  <c r="L51" i="3" s="1"/>
  <c r="F3" i="3"/>
  <c r="L3" i="3" s="1"/>
  <c r="F15" i="3"/>
  <c r="L15" i="3" s="1"/>
  <c r="F23" i="3"/>
  <c r="L23" i="3" s="1"/>
  <c r="F27" i="3"/>
  <c r="L27" i="3" s="1"/>
  <c r="F2" i="3"/>
  <c r="L2" i="3" s="1"/>
  <c r="F52" i="3"/>
  <c r="L52" i="3" s="1"/>
  <c r="F4" i="3"/>
  <c r="L4" i="3" s="1"/>
  <c r="F10" i="3"/>
  <c r="L10" i="3" s="1"/>
  <c r="F14" i="3"/>
  <c r="L14" i="3" s="1"/>
  <c r="F20" i="3"/>
  <c r="L20" i="3" s="1"/>
  <c r="F22" i="3"/>
  <c r="L22" i="3" s="1"/>
  <c r="F30" i="3"/>
  <c r="L30" i="3" s="1"/>
  <c r="F6" i="3"/>
  <c r="L6" i="3" s="1"/>
  <c r="F16" i="3"/>
  <c r="L16" i="3" s="1"/>
  <c r="F26" i="3"/>
  <c r="L26" i="3" s="1"/>
  <c r="F8" i="3"/>
  <c r="L8" i="3" s="1"/>
  <c r="F12" i="3"/>
  <c r="L12" i="3" s="1"/>
  <c r="F18" i="3"/>
  <c r="L18" i="3" s="1"/>
  <c r="F24" i="3"/>
  <c r="L24" i="3" s="1"/>
  <c r="F28" i="3"/>
  <c r="L28" i="3" s="1"/>
  <c r="F48" i="3"/>
  <c r="L48" i="3" s="1"/>
  <c r="F33" i="3"/>
  <c r="L33" i="3" s="1"/>
  <c r="F36" i="3"/>
  <c r="L36" i="3" s="1"/>
  <c r="F40" i="3"/>
  <c r="L40" i="3" s="1"/>
  <c r="F42" i="3"/>
  <c r="L42" i="3" s="1"/>
  <c r="F44" i="3"/>
  <c r="L44" i="3" s="1"/>
  <c r="F47" i="3"/>
  <c r="L47" i="3" s="1"/>
  <c r="F32" i="3"/>
  <c r="L32" i="3" s="1"/>
  <c r="F37" i="3"/>
  <c r="L37" i="3" s="1"/>
  <c r="F43" i="3"/>
  <c r="L43" i="3" s="1"/>
  <c r="F49" i="3"/>
  <c r="L49" i="3" s="1"/>
  <c r="F34" i="3"/>
  <c r="L34" i="3" s="1"/>
  <c r="F38" i="3"/>
  <c r="L38" i="3" s="1"/>
  <c r="F45" i="3"/>
  <c r="L45" i="3" s="1"/>
  <c r="F50" i="3"/>
  <c r="L50" i="3" s="1"/>
  <c r="F31" i="3"/>
  <c r="L31" i="3" s="1"/>
  <c r="F35" i="3"/>
  <c r="L35" i="3" s="1"/>
  <c r="F39" i="3"/>
  <c r="L39" i="3" s="1"/>
  <c r="F41" i="3"/>
  <c r="L41" i="3" s="1"/>
  <c r="F46" i="3"/>
  <c r="L46" i="3" s="1"/>
  <c r="H53" i="3" l="1"/>
  <c r="I53" i="3" s="1"/>
  <c r="H51" i="3"/>
  <c r="K51" i="3" s="1"/>
  <c r="H54" i="3"/>
  <c r="K54" i="3" s="1"/>
  <c r="K4" i="3"/>
  <c r="H4" i="3"/>
  <c r="K38" i="3"/>
  <c r="H38" i="3"/>
  <c r="K42" i="3"/>
  <c r="H42" i="3"/>
  <c r="K12" i="3"/>
  <c r="H12" i="3"/>
  <c r="K14" i="3"/>
  <c r="H14" i="3"/>
  <c r="K3" i="3"/>
  <c r="H3" i="3"/>
  <c r="K25" i="3"/>
  <c r="H25" i="3"/>
  <c r="K46" i="3"/>
  <c r="H46" i="3"/>
  <c r="K8" i="3"/>
  <c r="H8" i="3"/>
  <c r="K26" i="3"/>
  <c r="H26" i="3"/>
  <c r="K33" i="3"/>
  <c r="H33" i="3"/>
  <c r="K7" i="3"/>
  <c r="H7" i="3"/>
  <c r="K37" i="3"/>
  <c r="H37" i="3"/>
  <c r="K48" i="3"/>
  <c r="H48" i="3"/>
  <c r="K6" i="3"/>
  <c r="H6" i="3"/>
  <c r="K2" i="3"/>
  <c r="H2" i="3"/>
  <c r="K29" i="3"/>
  <c r="H29" i="3"/>
  <c r="K34" i="3"/>
  <c r="H34" i="3"/>
  <c r="K19" i="3"/>
  <c r="H19" i="3"/>
  <c r="K39" i="3"/>
  <c r="H39" i="3"/>
  <c r="K5" i="3"/>
  <c r="H5" i="3"/>
  <c r="K32" i="3"/>
  <c r="H32" i="3"/>
  <c r="K28" i="3"/>
  <c r="H28" i="3"/>
  <c r="K30" i="3"/>
  <c r="H30" i="3"/>
  <c r="K27" i="3"/>
  <c r="H27" i="3"/>
  <c r="K21" i="3"/>
  <c r="H21" i="3"/>
  <c r="K41" i="3"/>
  <c r="H41" i="3"/>
  <c r="K36" i="3"/>
  <c r="H36" i="3"/>
  <c r="K17" i="3"/>
  <c r="H17" i="3"/>
  <c r="K43" i="3"/>
  <c r="H43" i="3"/>
  <c r="K16" i="3"/>
  <c r="H16" i="3"/>
  <c r="K35" i="3"/>
  <c r="H35" i="3"/>
  <c r="K31" i="3"/>
  <c r="H31" i="3"/>
  <c r="K50" i="3"/>
  <c r="H50" i="3"/>
  <c r="K47" i="3"/>
  <c r="H47" i="3"/>
  <c r="K24" i="3"/>
  <c r="H24" i="3"/>
  <c r="K22" i="3"/>
  <c r="H22" i="3"/>
  <c r="K23" i="3"/>
  <c r="H23" i="3"/>
  <c r="K13" i="3"/>
  <c r="H13" i="3"/>
  <c r="K40" i="3"/>
  <c r="H40" i="3"/>
  <c r="K10" i="3"/>
  <c r="H10" i="3"/>
  <c r="K49" i="3"/>
  <c r="H49" i="3"/>
  <c r="K11" i="3"/>
  <c r="H11" i="3"/>
  <c r="K45" i="3"/>
  <c r="H45" i="3"/>
  <c r="K44" i="3"/>
  <c r="H44" i="3"/>
  <c r="K18" i="3"/>
  <c r="H18" i="3"/>
  <c r="K20" i="3"/>
  <c r="H20" i="3"/>
  <c r="K15" i="3"/>
  <c r="H15" i="3"/>
  <c r="K9" i="3"/>
  <c r="H9" i="3"/>
  <c r="J54" i="3"/>
  <c r="H52" i="3"/>
  <c r="K52" i="3" s="1"/>
  <c r="B39" i="1"/>
  <c r="F39" i="1" s="1"/>
  <c r="B42" i="1"/>
  <c r="F42" i="1" s="1"/>
  <c r="B43" i="1"/>
  <c r="F43" i="1" s="1"/>
  <c r="B44" i="1"/>
  <c r="F44" i="1" s="1"/>
  <c r="B45" i="1"/>
  <c r="F45" i="1" s="1"/>
  <c r="B46" i="1"/>
  <c r="F46" i="1" s="1"/>
  <c r="B47" i="1"/>
  <c r="F47" i="1" s="1"/>
  <c r="B48" i="1"/>
  <c r="F48" i="1" s="1"/>
  <c r="B49" i="1"/>
  <c r="F49" i="1" s="1"/>
  <c r="B50" i="1"/>
  <c r="F50" i="1" s="1"/>
  <c r="H49" i="1" l="1"/>
  <c r="K49" i="1"/>
  <c r="K39" i="1"/>
  <c r="H39" i="1"/>
  <c r="K48" i="1"/>
  <c r="H48" i="1"/>
  <c r="K46" i="1"/>
  <c r="H46" i="1"/>
  <c r="H45" i="1"/>
  <c r="K45" i="1"/>
  <c r="H47" i="1"/>
  <c r="K47" i="1"/>
  <c r="K44" i="1"/>
  <c r="H44" i="1"/>
  <c r="H43" i="1"/>
  <c r="K43" i="1"/>
  <c r="H50" i="1"/>
  <c r="K50" i="1" s="1"/>
  <c r="K42" i="1"/>
  <c r="H42" i="1"/>
  <c r="I51" i="3"/>
  <c r="I54" i="3"/>
  <c r="K53" i="3"/>
  <c r="J51" i="3"/>
  <c r="J53" i="3"/>
  <c r="I11" i="3"/>
  <c r="J11" i="3"/>
  <c r="J16" i="3"/>
  <c r="I16" i="3"/>
  <c r="J19" i="3"/>
  <c r="I19" i="3"/>
  <c r="J6" i="3"/>
  <c r="I6" i="3"/>
  <c r="J15" i="3"/>
  <c r="I15" i="3"/>
  <c r="J45" i="3"/>
  <c r="I45" i="3"/>
  <c r="J40" i="3"/>
  <c r="I40" i="3"/>
  <c r="J24" i="3"/>
  <c r="I24" i="3"/>
  <c r="J35" i="3"/>
  <c r="I35" i="3"/>
  <c r="J36" i="3"/>
  <c r="I36" i="3"/>
  <c r="J30" i="3"/>
  <c r="I30" i="3"/>
  <c r="J39" i="3"/>
  <c r="I39" i="3"/>
  <c r="J2" i="3"/>
  <c r="I2" i="3"/>
  <c r="I7" i="3"/>
  <c r="J7" i="3"/>
  <c r="J46" i="3"/>
  <c r="I46" i="3"/>
  <c r="J12" i="3"/>
  <c r="I12" i="3"/>
  <c r="J47" i="3"/>
  <c r="I47" i="3"/>
  <c r="J18" i="3"/>
  <c r="I18" i="3"/>
  <c r="J49" i="3"/>
  <c r="I49" i="3"/>
  <c r="J23" i="3"/>
  <c r="I23" i="3"/>
  <c r="J50" i="3"/>
  <c r="I50" i="3"/>
  <c r="J43" i="3"/>
  <c r="I43" i="3"/>
  <c r="J21" i="3"/>
  <c r="I21" i="3"/>
  <c r="J32" i="3"/>
  <c r="I32" i="3"/>
  <c r="J34" i="3"/>
  <c r="I34" i="3"/>
  <c r="J48" i="3"/>
  <c r="I48" i="3"/>
  <c r="J26" i="3"/>
  <c r="I26" i="3"/>
  <c r="J3" i="3"/>
  <c r="I3" i="3"/>
  <c r="J38" i="3"/>
  <c r="I38" i="3"/>
  <c r="J20" i="3"/>
  <c r="I20" i="3"/>
  <c r="J41" i="3"/>
  <c r="I41" i="3"/>
  <c r="J33" i="3"/>
  <c r="I33" i="3"/>
  <c r="J28" i="3"/>
  <c r="I28" i="3"/>
  <c r="J42" i="3"/>
  <c r="I42" i="3"/>
  <c r="J9" i="3"/>
  <c r="I9" i="3"/>
  <c r="J44" i="3"/>
  <c r="I44" i="3"/>
  <c r="J10" i="3"/>
  <c r="I10" i="3"/>
  <c r="J22" i="3"/>
  <c r="I22" i="3"/>
  <c r="J31" i="3"/>
  <c r="I31" i="3"/>
  <c r="J17" i="3"/>
  <c r="I17" i="3"/>
  <c r="J27" i="3"/>
  <c r="I27" i="3"/>
  <c r="J5" i="3"/>
  <c r="I5" i="3"/>
  <c r="J29" i="3"/>
  <c r="I29" i="3"/>
  <c r="J37" i="3"/>
  <c r="I37" i="3"/>
  <c r="J8" i="3"/>
  <c r="I8" i="3"/>
  <c r="I14" i="3"/>
  <c r="J14" i="3"/>
  <c r="I4" i="3"/>
  <c r="J4" i="3"/>
  <c r="J13" i="3"/>
  <c r="I13" i="3"/>
  <c r="J25" i="3"/>
  <c r="I25" i="3"/>
  <c r="I52" i="3"/>
  <c r="J52" i="3"/>
  <c r="I46" i="1" l="1"/>
  <c r="J46" i="1"/>
  <c r="J48" i="1"/>
  <c r="I48" i="1"/>
  <c r="I42" i="1"/>
  <c r="J42" i="1"/>
  <c r="J39" i="1"/>
  <c r="I39" i="1"/>
  <c r="I47" i="1"/>
  <c r="J47" i="1"/>
  <c r="J44" i="1"/>
  <c r="I44" i="1"/>
  <c r="J50" i="1"/>
  <c r="I50" i="1"/>
  <c r="I43" i="1"/>
  <c r="J43" i="1"/>
  <c r="J45" i="1"/>
  <c r="I45" i="1"/>
  <c r="J49" i="1"/>
  <c r="I49" i="1"/>
  <c r="B27" i="1"/>
  <c r="F27" i="1" s="1"/>
  <c r="B30" i="1"/>
  <c r="F30" i="1" s="1"/>
  <c r="B36" i="1"/>
  <c r="F36" i="1" s="1"/>
  <c r="B31" i="1"/>
  <c r="F31" i="1" s="1"/>
  <c r="B29" i="1"/>
  <c r="F29" i="1" s="1"/>
  <c r="B5" i="1"/>
  <c r="F5" i="1" s="1"/>
  <c r="B26" i="1"/>
  <c r="F26" i="1" s="1"/>
  <c r="B38" i="1"/>
  <c r="F38" i="1" s="1"/>
  <c r="B8" i="1"/>
  <c r="F8" i="1" s="1"/>
  <c r="B37" i="1"/>
  <c r="F37" i="1" s="1"/>
  <c r="B9" i="1"/>
  <c r="F9" i="1" s="1"/>
  <c r="B34" i="1"/>
  <c r="F34" i="1" s="1"/>
  <c r="B11" i="1"/>
  <c r="F11" i="1" s="1"/>
  <c r="B6" i="1"/>
  <c r="F6" i="1" s="1"/>
  <c r="B28" i="1"/>
  <c r="F28" i="1" s="1"/>
  <c r="B33" i="1"/>
  <c r="F33" i="1" s="1"/>
  <c r="B15" i="1"/>
  <c r="F15" i="1" s="1"/>
  <c r="B2" i="1"/>
  <c r="F2" i="1" s="1"/>
  <c r="B40" i="1"/>
  <c r="F40" i="1" s="1"/>
  <c r="B18" i="1"/>
  <c r="F18" i="1" s="1"/>
  <c r="B17" i="1"/>
  <c r="F17" i="1" s="1"/>
  <c r="B10" i="1"/>
  <c r="F10" i="1" s="1"/>
  <c r="B21" i="1"/>
  <c r="F21" i="1" s="1"/>
  <c r="B32" i="1"/>
  <c r="F32" i="1" s="1"/>
  <c r="B19" i="1"/>
  <c r="F19" i="1" s="1"/>
  <c r="B24" i="1"/>
  <c r="F24" i="1" s="1"/>
  <c r="B7" i="1"/>
  <c r="F7" i="1" s="1"/>
  <c r="B20" i="1"/>
  <c r="F20" i="1" s="1"/>
  <c r="B16" i="1"/>
  <c r="F16" i="1" s="1"/>
  <c r="B41" i="1"/>
  <c r="F41" i="1" s="1"/>
  <c r="B35" i="1"/>
  <c r="F35" i="1" s="1"/>
  <c r="B22" i="1"/>
  <c r="F22" i="1" s="1"/>
  <c r="B13" i="1"/>
  <c r="F13" i="1" s="1"/>
  <c r="B12" i="1"/>
  <c r="F12" i="1" s="1"/>
  <c r="B4" i="1"/>
  <c r="F4" i="1" s="1"/>
  <c r="B14" i="1"/>
  <c r="F14" i="1" s="1"/>
  <c r="B23" i="1"/>
  <c r="F23" i="1" s="1"/>
  <c r="B25" i="1"/>
  <c r="F25" i="1" s="1"/>
  <c r="B3" i="1"/>
  <c r="F3" i="1" s="1"/>
  <c r="K24" i="1" l="1"/>
  <c r="H24" i="1"/>
  <c r="K14" i="1"/>
  <c r="H14" i="1"/>
  <c r="H20" i="1"/>
  <c r="K20" i="1"/>
  <c r="H18" i="1"/>
  <c r="K18" i="1"/>
  <c r="H34" i="1"/>
  <c r="K34" i="1"/>
  <c r="K31" i="1"/>
  <c r="H31" i="1"/>
  <c r="H7" i="1"/>
  <c r="K7" i="1"/>
  <c r="K40" i="1"/>
  <c r="H40" i="1"/>
  <c r="H9" i="1"/>
  <c r="K9" i="1"/>
  <c r="K36" i="1"/>
  <c r="H36" i="1"/>
  <c r="K4" i="1"/>
  <c r="H4" i="1"/>
  <c r="K13" i="1"/>
  <c r="H13" i="1"/>
  <c r="H19" i="1"/>
  <c r="K19" i="1"/>
  <c r="K15" i="1"/>
  <c r="H15" i="1"/>
  <c r="K8" i="1"/>
  <c r="H8" i="1"/>
  <c r="H27" i="1"/>
  <c r="K27" i="1"/>
  <c r="K12" i="1"/>
  <c r="H12" i="1"/>
  <c r="K22" i="1"/>
  <c r="H22" i="1"/>
  <c r="K32" i="1"/>
  <c r="H32" i="1"/>
  <c r="K33" i="1"/>
  <c r="H33" i="1"/>
  <c r="H38" i="1"/>
  <c r="K38" i="1"/>
  <c r="H30" i="1"/>
  <c r="K30" i="1"/>
  <c r="K3" i="1"/>
  <c r="H3" i="1"/>
  <c r="H35" i="1"/>
  <c r="K35" i="1"/>
  <c r="H21" i="1"/>
  <c r="K21" i="1"/>
  <c r="H28" i="1"/>
  <c r="K28" i="1"/>
  <c r="H26" i="1"/>
  <c r="K26" i="1"/>
  <c r="H2" i="1"/>
  <c r="K2" i="1"/>
  <c r="H25" i="1"/>
  <c r="K25" i="1"/>
  <c r="H41" i="1"/>
  <c r="K41" i="1"/>
  <c r="H10" i="1"/>
  <c r="K10" i="1"/>
  <c r="K6" i="1"/>
  <c r="H6" i="1"/>
  <c r="H5" i="1"/>
  <c r="K5" i="1"/>
  <c r="K37" i="1"/>
  <c r="H37" i="1"/>
  <c r="K23" i="1"/>
  <c r="H23" i="1"/>
  <c r="K16" i="1"/>
  <c r="H16" i="1"/>
  <c r="K17" i="1"/>
  <c r="H17" i="1"/>
  <c r="K11" i="1"/>
  <c r="H11" i="1"/>
  <c r="K29" i="1"/>
  <c r="H29" i="1"/>
  <c r="J26" i="1" l="1"/>
  <c r="I26" i="1"/>
  <c r="I16" i="1"/>
  <c r="J16" i="1"/>
  <c r="I6" i="1"/>
  <c r="J6" i="1"/>
  <c r="I33" i="1"/>
  <c r="J33" i="1"/>
  <c r="I13" i="1"/>
  <c r="J13" i="1"/>
  <c r="I40" i="1"/>
  <c r="J40" i="1"/>
  <c r="I29" i="1"/>
  <c r="J29" i="1"/>
  <c r="I10" i="1"/>
  <c r="J10" i="1"/>
  <c r="J2" i="1"/>
  <c r="I2" i="1"/>
  <c r="I35" i="1"/>
  <c r="J35" i="1"/>
  <c r="J27" i="1"/>
  <c r="I27" i="1"/>
  <c r="J18" i="1"/>
  <c r="I18" i="1"/>
  <c r="J3" i="1"/>
  <c r="I3" i="1"/>
  <c r="J20" i="1"/>
  <c r="I20" i="1"/>
  <c r="I11" i="1"/>
  <c r="J11" i="1"/>
  <c r="J37" i="1"/>
  <c r="I37" i="1"/>
  <c r="I22" i="1"/>
  <c r="J22" i="1"/>
  <c r="J15" i="1"/>
  <c r="I15" i="1"/>
  <c r="I36" i="1"/>
  <c r="J36" i="1"/>
  <c r="J31" i="1"/>
  <c r="I31" i="1"/>
  <c r="I14" i="1"/>
  <c r="J14" i="1"/>
  <c r="J23" i="1"/>
  <c r="I23" i="1"/>
  <c r="I8" i="1"/>
  <c r="J8" i="1"/>
  <c r="J7" i="1"/>
  <c r="I7" i="1"/>
  <c r="J41" i="1"/>
  <c r="I41" i="1"/>
  <c r="J28" i="1"/>
  <c r="I28" i="1"/>
  <c r="I30" i="1"/>
  <c r="J30" i="1"/>
  <c r="I32" i="1"/>
  <c r="J32" i="1"/>
  <c r="I17" i="1"/>
  <c r="J17" i="1"/>
  <c r="J12" i="1"/>
  <c r="I12" i="1"/>
  <c r="J24" i="1"/>
  <c r="I24" i="1"/>
  <c r="J4" i="1"/>
  <c r="I4" i="1"/>
  <c r="J5" i="1"/>
  <c r="I5" i="1"/>
  <c r="I25" i="1"/>
  <c r="J25" i="1"/>
  <c r="I21" i="1"/>
  <c r="J21" i="1"/>
  <c r="I38" i="1"/>
  <c r="J38" i="1"/>
  <c r="J19" i="1"/>
  <c r="I19" i="1"/>
  <c r="I9" i="1"/>
  <c r="J9" i="1"/>
  <c r="I34" i="1"/>
  <c r="J34" i="1"/>
</calcChain>
</file>

<file path=xl/sharedStrings.xml><?xml version="1.0" encoding="utf-8"?>
<sst xmlns="http://schemas.openxmlformats.org/spreadsheetml/2006/main" count="1523" uniqueCount="560">
  <si>
    <t>ACTIVE FLOW WETTED MATERIAL - YIELD STRENGTH (KSI)</t>
  </si>
  <si>
    <t>APPROXIMATE WEIGHT (LBS)</t>
  </si>
  <si>
    <t>EXTERNAL WORKING PRESSURE (PSI) - EOEC AT SPECIFIED TEMP (F)</t>
  </si>
  <si>
    <t>INTERNAL WORKING PRESSURE (PSI) - EOEC AT SPECIFIED TEMP (F)</t>
  </si>
  <si>
    <t>LOWER THREAD CONNECTING - SIZE (IN), WT (PPF), TYPE, CONFIG</t>
  </si>
  <si>
    <t>MATERIAL/ELASTOMERS</t>
  </si>
  <si>
    <t>MAX. WORKING TEMPERATURE (DEG.F)</t>
  </si>
  <si>
    <t>MIN. WORKING TEMPERATURE (DEG.F)</t>
  </si>
  <si>
    <t>O.D. - MAX. (IN)</t>
  </si>
  <si>
    <t>O.D. (IN)</t>
  </si>
  <si>
    <t>OVERALL LENGTH (IN)</t>
  </si>
  <si>
    <t>QUALITY CONTROL PLAN - QCP</t>
  </si>
  <si>
    <t>SERVICE NACE (YES/NO)</t>
  </si>
  <si>
    <t>TENSILE STRENGTH (LBS) - EOEC AT SPECIFIED TEMP (F)</t>
  </si>
  <si>
    <t>UPPER THREAD CONNECTING - SIZE (IN), WT (PPF), TYPE, CONFIG</t>
  </si>
  <si>
    <t>CASING SIZE (IN)</t>
  </si>
  <si>
    <t>CASING WEIGHT RANGE (PPF)</t>
  </si>
  <si>
    <t>CERTIFICATION STATUS</t>
  </si>
  <si>
    <t>DIFFERENTIAL PRESSURE RATING (PSI)</t>
  </si>
  <si>
    <t>DIFFERENTIAL RATING ISOLATED (PSI)</t>
  </si>
  <si>
    <t>DIFFERENTIAL RATING PLUGGED (PSI)</t>
  </si>
  <si>
    <t>MATERIAL/ELEMENTS</t>
  </si>
  <si>
    <t>MATERIAL/NON FLOW WETTED</t>
  </si>
  <si>
    <t>MATERIAL/O-RING(S)</t>
  </si>
  <si>
    <t>MAX. DELTA T (F)</t>
  </si>
  <si>
    <t>PACKER ENVELOPE POINTS ISOLATED - LOAD (LBS)</t>
  </si>
  <si>
    <t>PACKER ENVELOPE POINTS ISOLATED - PRESSURE (PSI)</t>
  </si>
  <si>
    <t>PACKER ENVELOPE POINTS PLUGGED - BELOW - LOAD (LBS)</t>
  </si>
  <si>
    <t>PACKER ENVELOPE POINTS PLUGGED - BELOW - PRESSURE (PSI)</t>
  </si>
  <si>
    <t>PACKER ENVELOPE POINTS UNPLUGGED - LOAD (LBS)</t>
  </si>
  <si>
    <t>PACKER ENVELOPE POINTS UNPLUGGED - PRESSURE (PSI)</t>
  </si>
  <si>
    <t>SEAL DIAMETER (IN)</t>
  </si>
  <si>
    <t>SETTING DIFFERENTIAL PRESSURE - RECOMMENDED (MIN)(PSI)</t>
  </si>
  <si>
    <t>Reference</t>
  </si>
  <si>
    <t>Standard Attributes List</t>
  </si>
  <si>
    <t>Output</t>
  </si>
  <si>
    <t>CONVEYANCE METHOD</t>
  </si>
  <si>
    <t>DIFFERENTIAL RATING UNPLUGGED (PSI)</t>
  </si>
  <si>
    <t>MAX. CIRCULATION RATE PAST PACKER (BPM)</t>
  </si>
  <si>
    <t>MAX. RIH RATE (FPM)</t>
  </si>
  <si>
    <t>OPERATIONS MANUAL</t>
  </si>
  <si>
    <t>QUALITY CONTROL GRADE</t>
  </si>
  <si>
    <t>RETRIEVAL METHOD</t>
  </si>
  <si>
    <t>SETTING METHOD</t>
  </si>
  <si>
    <t>TORQUE CAPACITY - EOEC (FT-LBS)</t>
  </si>
  <si>
    <t>Trim Ref  List</t>
  </si>
  <si>
    <t>Ref. Value</t>
  </si>
  <si>
    <t>Assist Ref Values</t>
  </si>
  <si>
    <t>Output Value</t>
  </si>
  <si>
    <t>SERVICE NACE (YES/NO) = YES</t>
  </si>
  <si>
    <t>I.D. - DRIFT (IN)</t>
  </si>
  <si>
    <t>I.D. - MIN. (IN)</t>
  </si>
  <si>
    <t>I.D. (IN)</t>
  </si>
  <si>
    <t>MAKE-UP LENGTH (IN)</t>
  </si>
  <si>
    <t>Column1</t>
  </si>
  <si>
    <t>QUALITY CONTROL PLAN - QCP = STD SLB</t>
  </si>
  <si>
    <t>Notes</t>
  </si>
  <si>
    <t>Q3</t>
  </si>
  <si>
    <t>Overwrite Value</t>
  </si>
  <si>
    <t>ISO QUALIFIED CASING ID</t>
  </si>
  <si>
    <t>QUALITY CONTROL GRADE = Q3</t>
  </si>
  <si>
    <t>Check</t>
  </si>
  <si>
    <t>MATERIAL/ELEMENTS = HNBR</t>
  </si>
  <si>
    <t>MAX. WORKING TEMPERATURE (DEG.F) = 325</t>
  </si>
  <si>
    <t>ACTIVE FLOW WETTED MATERIAL - YIELD STRENGTH (KSI) = 13CR[80]</t>
  </si>
  <si>
    <t>APPROXIMATE WEIGHT (LBS) = 390</t>
  </si>
  <si>
    <t>CASING SIZE (IN) = 7</t>
  </si>
  <si>
    <t>CASING WEIGHT RANGE (PPF) = 32-35</t>
  </si>
  <si>
    <t>CERTIFICATION STATUS = ISO-V0[38-250F, 150-325F]</t>
  </si>
  <si>
    <t>CONVEYANCE METHOD = TUBING</t>
  </si>
  <si>
    <t>DIFFERENTIAL PRESSURE RATING (PSI) = 10000</t>
  </si>
  <si>
    <t>DIFFERENTIAL RATING ISOLATED (PSI) = 7500</t>
  </si>
  <si>
    <t>DIFFERENTIAL RATING PLUGGED (PSI) = 7500</t>
  </si>
  <si>
    <t>DIFFERENTIAL RATING UNPLUGGED (PSI) = 10000</t>
  </si>
  <si>
    <t>I.D. - DRIFT (IN) = 2.867</t>
  </si>
  <si>
    <t>I.D. - MIN. (IN) = 2.890</t>
  </si>
  <si>
    <t>I.D. (IN) = 2.890</t>
  </si>
  <si>
    <t>ISO QUALIFIED CASING ID = MAX API ID</t>
  </si>
  <si>
    <t>MAKE-UP LENGTH (IN) = 90</t>
  </si>
  <si>
    <t>MATERIAL/ELASTOMERS = HNBR</t>
  </si>
  <si>
    <t>MATERIAL/NON FLOW WETTED = 4130/4140, 4340</t>
  </si>
  <si>
    <t>MATERIAL/O-RING(S) = HNBR</t>
  </si>
  <si>
    <t>MAX. CIRCULATION RATE PAST PACKER (BPM) = 7</t>
  </si>
  <si>
    <t>MAX. DELTA T (F) = 212</t>
  </si>
  <si>
    <t>MAX. RIH RATE (FPM) = 200</t>
  </si>
  <si>
    <t>MIN. WORKING TEMPERATURE (DEG.F) = 38</t>
  </si>
  <si>
    <t>O.D. (IN) = 5.810</t>
  </si>
  <si>
    <t>O.D. - MAX. (IN) = 5.810</t>
  </si>
  <si>
    <t>OPERATIONS MANUAL = IT# 4063442</t>
  </si>
  <si>
    <t>OVERALL LENGTH (IN) = 93</t>
  </si>
  <si>
    <t>PACKER ENVELOPE POINTS ISOLATED - LOAD (LBS) = 89113, 200000, 200000, 165000, 29067, -120000, -120000, -65508</t>
  </si>
  <si>
    <t>PACKER ENVELOPE POINTS ISOLATED - PRESSURE (PSI) = -10000, -3928, 1430, 3211, 7500, 7500, -4445, -10000</t>
  </si>
  <si>
    <t>PACKER ENVELOPE POINTS PLUGGED - BELOW - LOAD (LBS) = 135000, 200000, 200000, 165000, 29067, -120000, -120000, -35430</t>
  </si>
  <si>
    <t>PACKER ENVELOPE POINTS PLUGGED - BELOW - PRESSURE (PSI) = -7500, -3928, 1430, 3211, 7500, 7500, -2551, -7500</t>
  </si>
  <si>
    <t>PACKER ENVELOPE POINTS UNPLUGGED - LOAD (LBS) = 89113, 200000, 200000, 35000, -120000, -120000, -65508</t>
  </si>
  <si>
    <t>PACKER ENVELOPE POINTS UNPLUGGED - PRESSURE (PSI) = -10000, -3928, 1430, 10000, 10000, -4445, -10000</t>
  </si>
  <si>
    <t>RETRIEVAL METHOD = CUT-TO-RELEASE</t>
  </si>
  <si>
    <t>SEAL DIAMETER (IN) = 3.500</t>
  </si>
  <si>
    <t>SETTING DIFFERENTIAL PRESSURE - RECOMMENDED (MIN)(PSI) = 4000</t>
  </si>
  <si>
    <t>SETTING METHOD = HYDRAULIC</t>
  </si>
  <si>
    <t>TORQUE CAPACITY - EOEC (FT-LBS) = 3900</t>
  </si>
  <si>
    <t>TUBING</t>
  </si>
  <si>
    <t>MAX API ID</t>
  </si>
  <si>
    <t>HNBR</t>
  </si>
  <si>
    <t>4130/4140, 4340</t>
  </si>
  <si>
    <t>STD SLB</t>
  </si>
  <si>
    <t>CUT-TO-RELEASE</t>
  </si>
  <si>
    <t>YES</t>
  </si>
  <si>
    <t>SETTING PRESSURE 1ST SHEAR (PSI)</t>
  </si>
  <si>
    <t>SETTING PRESSURE SLIP ENGAGEMENT (PSI)</t>
  </si>
  <si>
    <t>ACTIVE FLOW WETTED MATERIAL - YIELD STRENGTH (KSI) = 4130/4140[80], 925/718[110]</t>
  </si>
  <si>
    <t>APPROXIMATE WEIGHT (LBS) = 850</t>
  </si>
  <si>
    <t>CASING SIZE (IN) = 10-3/4</t>
  </si>
  <si>
    <t>CASING WEIGHT RANGE (PPF) = 60.7</t>
  </si>
  <si>
    <t>CERTIFICATION STATUS = ISO-V0[40-160F]</t>
  </si>
  <si>
    <t>CONTROL LINE SET = 3/8 HDMC BELOW</t>
  </si>
  <si>
    <t>DIFFERENTIAL PRESSURE RATING (PSI) = 7500</t>
  </si>
  <si>
    <t>DIFFERENTIAL RATING ISOLATED (PSI) = 6000</t>
  </si>
  <si>
    <t>DIFFERENTIAL RATING PLUGGED (PSI) = 6000</t>
  </si>
  <si>
    <t>DIFFERENTIAL RATING UNPLUGGED (PSI) = 7500</t>
  </si>
  <si>
    <t>EXTERNAL WORKING PRESSURE (PSI) - EOEC AT SPECIFIED TEMP (F) = 7500[325]</t>
  </si>
  <si>
    <t>I.D. - DRIFT (IN) = 5.540</t>
  </si>
  <si>
    <t>I.D. - MIN. (IN) = 5.600</t>
  </si>
  <si>
    <t>I.D. (IN) = 5.600</t>
  </si>
  <si>
    <t>INTERNAL WORKING PRESSURE (PSI) - EOEC AT SPECIFIED TEMP (F) = 7500[325]</t>
  </si>
  <si>
    <t>LOWER THREAD CONNECTING - SIZE (IN), WT (PPF), TYPE, CONFIG = 7.000, 29, VAM TOP HC, PIN</t>
  </si>
  <si>
    <t>MAKE-UP LENGTH (IN) = 97</t>
  </si>
  <si>
    <t>MAX. CIRCULATION RATE PAST PACKER (BPM) = 6.7</t>
  </si>
  <si>
    <t>MAX. DELTA T (F) = 120</t>
  </si>
  <si>
    <t>MAX. HYDROSTATIC PRESSURE (PSI) - AT SPECIFIED TEMP (F) = 8000[350]</t>
  </si>
  <si>
    <t>MAX. RIH RATE (FPM) = 91</t>
  </si>
  <si>
    <t>MAX. WORKING TEMPERATURE (DEG.F) = 160</t>
  </si>
  <si>
    <t>MIN. WORKING TEMPERATURE (DEG.F) = 40</t>
  </si>
  <si>
    <t>O.D. - MAX. (IN) = 9.384</t>
  </si>
  <si>
    <t>O.D. (IN) = 9.384</t>
  </si>
  <si>
    <t>OPERATIONS MANUAL = IT# 4270641</t>
  </si>
  <si>
    <t>OVERALL LENGTH (IN) = 102</t>
  </si>
  <si>
    <t>PACKER ENVELOPE POINTS ISOLATED - LOAD (LBS) = 427813, 600000, 600000, 590000, 169805, -600000, -600000</t>
  </si>
  <si>
    <t>PACKER ENVELOPE POINTS ISOLATED - PRESSURE (PSI) = -7500, -5836, 1326, 1585, 6000, 6000, -7500</t>
  </si>
  <si>
    <t>PACKER ENVELOPE POINTS PLUGGED - BELOW - LOAD (LBS) = 582000, 600000, 600000, 590000, 169805, -600000, -600000, -455346</t>
  </si>
  <si>
    <t>PACKER ENVELOPE POINTS PLUGGED - BELOW - PRESSURE (PSI) = -6000, -5836, 1326, 1585, 6000, 6000, -3375, -6000</t>
  </si>
  <si>
    <t>PACKER ENVELOPE POINTS UNPLUGGED - LOAD (LBS) = 427813, 600000, 600000, 370077, -502601, -600000, -600000</t>
  </si>
  <si>
    <t>PACKER ENVELOPE POINTS UNPLUGGED - PRESSURE (PSI) = -7500, -5836, 1326, 7500, 7500, 6458, -7500</t>
  </si>
  <si>
    <t>SEAL DIAMETER (IN) = 7.000</t>
  </si>
  <si>
    <t>SETTING METHOD = CONTROL LINE</t>
  </si>
  <si>
    <t>TENSILE STRENGTH (LBS) - EOEC AT SPECIFIED TEMP (F) = 600000[325]</t>
  </si>
  <si>
    <t>TORQUE CAPACITY - EOEC (FT-LBS) = 10340</t>
  </si>
  <si>
    <t>UPPER THREAD CONNECTING - SIZE (IN), WT (PPF), TYPE, CONFIG = 7.000, 29, VAM TOP HC, BOX</t>
  </si>
  <si>
    <t>CONTROL LINE SET</t>
  </si>
  <si>
    <t>MAX. HYDROSTATIC PRESSURE (PSI) - AT SPECIFIED TEMP (F)</t>
  </si>
  <si>
    <t>4130/4140[80], 925/718[110]</t>
  </si>
  <si>
    <t>ISO-V0[40-160F]</t>
  </si>
  <si>
    <t>3/8 HDMC BELOW</t>
  </si>
  <si>
    <t>7500[325]</t>
  </si>
  <si>
    <t>5.540</t>
  </si>
  <si>
    <t>7.000, 29, VAM TOP HC, PIN</t>
  </si>
  <si>
    <t>8000[350]</t>
  </si>
  <si>
    <t>IT# 4270641</t>
  </si>
  <si>
    <t>427813, 600000, 600000, 590000, 169805, -600000, -600000</t>
  </si>
  <si>
    <t>-7500, -5836, 1326, 1585, 6000, 6000, -7500</t>
  </si>
  <si>
    <t>582000, 600000, 600000, 590000, 169805, -600000, -600000, -455346</t>
  </si>
  <si>
    <t>-6000, -5836, 1326, 1585, 6000, 6000, -3375, -6000</t>
  </si>
  <si>
    <t>427813, 600000, 600000, 370077, -502601, -600000, -600000</t>
  </si>
  <si>
    <t>-7500, -5836, 1326, 7500, 7500, 6458, -7500</t>
  </si>
  <si>
    <t>CONTROL LINE</t>
  </si>
  <si>
    <t>600000[325]</t>
  </si>
  <si>
    <t>7.000, 29, VAM TOP HC, BOX</t>
  </si>
  <si>
    <t>10-3/4</t>
  </si>
  <si>
    <t>5.600</t>
  </si>
  <si>
    <t>Value Check</t>
  </si>
  <si>
    <t>850</t>
  </si>
  <si>
    <t>7.000</t>
  </si>
  <si>
    <t>LOWER THREAD CONNECTING - SIZE (IN), WT (PPF), TYPE, CONFIG = 3.500, 9.2, JFEBEAR, PIN</t>
  </si>
  <si>
    <t>MATERIAL/NON FLOW WETTED = 4130/4140/4145, 4340</t>
  </si>
  <si>
    <t>SETTING PRESSURE 1ST SHEAR (PSI) = 2047</t>
  </si>
  <si>
    <t>SETTING PRESSURE SLIP ENGAGEMENT (PSI) = 2359</t>
  </si>
  <si>
    <t>TENSILE STRENGTH (LBS) - EOEC AT SPECIFIED TEMP (F) = 200000[325]</t>
  </si>
  <si>
    <t>UPPER THREAD CONNECTING - SIZE (IN), WT (PPF), TYPE, CONFIG = 3.500, 9.2, JFEBEAR, BOX</t>
  </si>
  <si>
    <t>ACTIVE FLOW WETTED MATERIAL - YIELD STRENGTH (KSI) = 13CR[80], 17-4 PH[105]</t>
  </si>
  <si>
    <t>13CR[80], 17-4 PH[105]</t>
  </si>
  <si>
    <t>APPROXIMATE WEIGHT (LBS) = 520</t>
  </si>
  <si>
    <t>BORE I.D. (IN)</t>
  </si>
  <si>
    <t>BORE I.D. (IN) = 6.000</t>
  </si>
  <si>
    <t>CASING SIZE (IN) = 9-5/8</t>
  </si>
  <si>
    <t>CASING WEIGHT RANGE (PPF) = 47-53.5</t>
  </si>
  <si>
    <t>CERTIFICATION STATUS = NA</t>
  </si>
  <si>
    <t>NA</t>
  </si>
  <si>
    <t>CONVEYANCE METHOD = SERVICE TOOL, WIRELINE</t>
  </si>
  <si>
    <t>SERVICE TOOL, WIRELINE</t>
  </si>
  <si>
    <t>DIFFERENTIAL PRESSURE RATING (PSI) = 6000</t>
  </si>
  <si>
    <t>DIFFERENTIAL RATING ISOLATED (PSI) = NA</t>
  </si>
  <si>
    <t>DIFFERENTIAL RATING PLUGGED (PSI) = NA</t>
  </si>
  <si>
    <t>DIFFERENTIAL RATING UNPLUGGED (PSI) = NA</t>
  </si>
  <si>
    <t>EXTERNAL WORKING PRESSURE (PSI) - EOEC AT SPECIFIED TEMP (F) = NA</t>
  </si>
  <si>
    <t>I.D. - DRIFT (IN) = 5.995</t>
  </si>
  <si>
    <t>I.D. - MIN. (IN) = 6.000</t>
  </si>
  <si>
    <t>I.D. (IN) = 6.003</t>
  </si>
  <si>
    <t>INTERNAL WORKING PRESSURE (PSI) - EOEC AT SPECIFIED TEMP (F) = NA</t>
  </si>
  <si>
    <t>ISO QUALIFIED CASING ID = NA</t>
  </si>
  <si>
    <t>LOWER THREAD CONNECTING - SIZE (IN), WT (PPF), TYPE, CONFIG = 7.000, 6, STUB ACME, PIN</t>
  </si>
  <si>
    <t>MAKE-UP LENGTH (IN) = 57</t>
  </si>
  <si>
    <t>MATERIAL/ELASTOMERS = HNBR, VITON</t>
  </si>
  <si>
    <t>MATERIAL/NON FLOW WETTED = DUCTILE IRON, 41XX, 8620</t>
  </si>
  <si>
    <t>MATERIAL/O-RING(S) = VITON</t>
  </si>
  <si>
    <t>MAX. CIRCULATION RATE PAST PACKER (BPM) = NA</t>
  </si>
  <si>
    <t>MAX. DELTA T (F) = NA</t>
  </si>
  <si>
    <t>MAX. RIH RATE (FPM) = 100</t>
  </si>
  <si>
    <t>MIN. WORKING TEMPERATURE (DEG.F) = 100</t>
  </si>
  <si>
    <t>O.D. - MAX. (IN) = 8.335</t>
  </si>
  <si>
    <t>O.D. (IN) = 8.330</t>
  </si>
  <si>
    <t>OPERATIONS MANUAL = IT# 3013940</t>
  </si>
  <si>
    <t>OVERALL LENGTH (IN) = 70</t>
  </si>
  <si>
    <t>PACKER ENVELOPE POINTS ISOLATED - LOAD (LBS) = NA</t>
  </si>
  <si>
    <t>PACKER ENVELOPE POINTS ISOLATED - PRESSURE (PSI) = NA</t>
  </si>
  <si>
    <t>PACKER ENVELOPE POINTS PLUGGED - BELOW - LOAD (LBS) = NA</t>
  </si>
  <si>
    <t>PACKER ENVELOPE POINTS PLUGGED - BELOW - PRESSURE (PSI) = NA</t>
  </si>
  <si>
    <t>PACKER ENVELOPE POINTS UNPLUGGED - LOAD (LBS) = NA</t>
  </si>
  <si>
    <t>PACKER ENVELOPE POINTS UNPLUGGED - PRESSURE (PSI) = NA</t>
  </si>
  <si>
    <t>RETRIEVAL METHOD = SHIFT-TO-RELEASE</t>
  </si>
  <si>
    <t>SEAL DIAMETER (IN) = 6.000</t>
  </si>
  <si>
    <t>SETTING DIFFERENTIAL PRESSURE - RECOMMENDED (MIN)(PSI) = SETTING TOOL[33.35IN^2]:1600</t>
  </si>
  <si>
    <t>SETTING FORCE (LB)</t>
  </si>
  <si>
    <t>SETTING FORCE (LB) = SETTING TOOL:55000+AXIAL:0</t>
  </si>
  <si>
    <t>SETTING METHOD = SERVICE TOOL</t>
  </si>
  <si>
    <t>SHEAR RELEASE FORCE (LB)</t>
  </si>
  <si>
    <t>SHEAR RELEASE FORCE (LB) = 14000</t>
  </si>
  <si>
    <t>TORQUE CAPACITY - EOEC (FT-LBS) = 10000</t>
  </si>
  <si>
    <t>UPPER THREAD CONNECTING - SIZE (IN), WT (PPF), TYPE, CONFIG = 6.500, 4, LEFT HAND SQUARE, BOX</t>
  </si>
  <si>
    <t>CONFIGURATION</t>
  </si>
  <si>
    <t>DIFFERENTIAL PRESSURE RATING - ACROSS SEALS (PSI)</t>
  </si>
  <si>
    <t>EXTERNAL WORKING PRESSURE (PSI) - AT SPECIFIED TEMP (F)</t>
  </si>
  <si>
    <t>FEED THROUGH</t>
  </si>
  <si>
    <t>FITS PACKING BORE I.D. (IN)</t>
  </si>
  <si>
    <t>HYDRAULIC RELEASE PRESSURE (PSI)</t>
  </si>
  <si>
    <t>I.D. - DRIFT PRIMARY (IN)</t>
  </si>
  <si>
    <t>I.D. - DRIFT SECONDARY (IN)</t>
  </si>
  <si>
    <t>I.D. - PRIMARY (IN)</t>
  </si>
  <si>
    <t>I.D. - PRIMARY MIN (IN)</t>
  </si>
  <si>
    <t>I.D. - REF. (IN)</t>
  </si>
  <si>
    <t>I.D. - SECONDARY (IN)</t>
  </si>
  <si>
    <t>I.D. - SECONDARY MIN (IN)</t>
  </si>
  <si>
    <t>INTERNAL WORKING PRESSURE (PSI) - AT SPECIFIED TEMP (F)</t>
  </si>
  <si>
    <t>LATCH ANCHOR RATING COMPRESSION (LBS) - AT SPECIFIED TEMP (F)</t>
  </si>
  <si>
    <t>LATCH ANCHOR RATING TENSION (LBS) - AT SPECIFIED TEMP (F)</t>
  </si>
  <si>
    <t>LOWER THREAD SECONDARY - SIZE (IN), WT (PPF), TYPE, CONFIG</t>
  </si>
  <si>
    <t>MAKE-UP LENGTH PRIMARY (IN)</t>
  </si>
  <si>
    <t>MAKE-UP LENGTH SECONDARY (IN)</t>
  </si>
  <si>
    <t>MAKE-UP/STACK-OUT LENGTH (IN)</t>
  </si>
  <si>
    <t>MAX. HYDROSTATIC PRESSURE (PSI) – AT SPECIFIED TEMP (F)</t>
  </si>
  <si>
    <t>NO-GO LOCATOR RATING COMPRESSION (LBS) - AT SPECIFIED TEMP (F)</t>
  </si>
  <si>
    <t>OFFSET (IN)</t>
  </si>
  <si>
    <t>PACKER CONNECTING THREAD - SIZE (IN), PITCH (INTEGER), TYPE</t>
  </si>
  <si>
    <t>RELEASE STUD (LBS)</t>
  </si>
  <si>
    <t>SEAL MAKE UP LENGTH (IN)</t>
  </si>
  <si>
    <t>SETTING MANDREL (PRIMARY/SECONDARY)</t>
  </si>
  <si>
    <t>SNAP LATCH LOCATOR RATING COMPRESSION (LBS) - AT SPECIFIED TEMP (F)</t>
  </si>
  <si>
    <t>TENSILE STRENGTH (LBS) - AT SPECIFIED TEMP (F)</t>
  </si>
  <si>
    <t>TORQUE SHEAR VALUE/RIGHT HAND TORQUE RELEASE (FT-LBS)</t>
  </si>
  <si>
    <t>UPPER BORE I.D. (IN)</t>
  </si>
  <si>
    <t>UPPER THREAD SECONDARY - SIZE (IN), WT (PPF), TYPE, CONFIG</t>
  </si>
  <si>
    <t>CASING I.D. MAX.</t>
  </si>
  <si>
    <t>CASING I.D. MIN.</t>
  </si>
  <si>
    <t>ATTRIBUTES</t>
  </si>
  <si>
    <t>XHP</t>
  </si>
  <si>
    <t>QUANTUM</t>
  </si>
  <si>
    <t>XHP-CL</t>
  </si>
  <si>
    <t>XHP-A-CL</t>
  </si>
  <si>
    <t>stripped attributes</t>
  </si>
  <si>
    <t>CERTIFICATION STATUS = ISO-V0[150-350F]</t>
  </si>
  <si>
    <t>MATERIAL/ELASTOMERS = AFLAS</t>
  </si>
  <si>
    <t>MATERIAL/ELEMENTS = AFLAS</t>
  </si>
  <si>
    <t>MATERIAL/O-RING(S) = AFLAS</t>
  </si>
  <si>
    <t>MAX. DELTA T (F) = 200</t>
  </si>
  <si>
    <t>MAX. WORKING TEMPERATURE (DEG.F) = 350</t>
  </si>
  <si>
    <t>MIN. WORKING TEMPERATURE (DEG.F) = 150</t>
  </si>
  <si>
    <t>EXTERNAL WORKING PRESSURE (PSI) - EOEC AT SPECIFIED TEMP (F) = 7500[350]</t>
  </si>
  <si>
    <t>INTERNAL WORKING PRESSURE (PSI) - EOEC AT SPECIFIED TEMP (F) = 7500[350]</t>
  </si>
  <si>
    <t>LOWER THREAD CONNECTING - SIZE (IN), WT (PPF), TYPE, CONFIG = 3.500, 10.2, VAM TOP, PIN</t>
  </si>
  <si>
    <t>TENSILE STRENGTH (LBS) - EOEC AT SPECIFIED TEMP (F) = 200000[350]</t>
  </si>
  <si>
    <t>UPPER THREAD CONNECTING - SIZE (IN), WT (PPF), TYPE, CONFIG = 3.500, 10.2, VAM TOP, BOX</t>
  </si>
  <si>
    <t>CONTROL LINE SET = NA</t>
  </si>
  <si>
    <t>I.D. - DRIFT (IN) = 2.797</t>
  </si>
  <si>
    <t>MATERIAL/NON FLOW WETTED = 4130/4140, 4145, 4340</t>
  </si>
  <si>
    <t>MAX. CIRCULATION RATE PAST PACKER (BPM) = 7.0</t>
  </si>
  <si>
    <t>SETTING PRESSURE 1ST SHEAR (PSI) = 2208</t>
  </si>
  <si>
    <t>SETTING PRESSURE SLIP ENGAGEMENT (PSI) = 2208</t>
  </si>
  <si>
    <t>MRP-ESP</t>
  </si>
  <si>
    <t>DIFFERENTIAL PRESSURE RATING (PSI) = 5000</t>
  </si>
  <si>
    <t>DIFFERENTIAL RATING ISOLATED (PSI) = 4500</t>
  </si>
  <si>
    <t>MAX. DELTA T (F) = 100</t>
  </si>
  <si>
    <t>MAX. RIH RATE (FPM) = NA</t>
  </si>
  <si>
    <t>MAX. WORKING TEMPERATURE (DEG.F) = 250</t>
  </si>
  <si>
    <t>OFFSET (IN) = 1.211</t>
  </si>
  <si>
    <t>OPERATIONS MANUAL = IT# 3892639</t>
  </si>
  <si>
    <t>PACKER ENVELOPE POINTS ISOLATED - PRESSURE (PSI) = -5000, 0, 4500, 4500, 0, -5000</t>
  </si>
  <si>
    <t>PACKER ENVELOPE POINTS UNPLUGGED - PRESSURE (PSI) = -5000, 0, 5000, 5000, 0, -5000</t>
  </si>
  <si>
    <t>RETRIEVAL METHOD = STRAIGHT-PULL-RELEASE</t>
  </si>
  <si>
    <t>SEAL DIAMETER (IN) = 3.848</t>
  </si>
  <si>
    <t>SETTING DIFFERENTIAL PRESSURE - RECOMMENDED (MIN)(PSI) = 3500</t>
  </si>
  <si>
    <t>SHEAR RELEASE FORCE (LB) = 60000</t>
  </si>
  <si>
    <t>TORQUE CAPACITY - EOEC (FT-LBS) = NA</t>
  </si>
  <si>
    <t>I.D. - DRIFT SECONDARY (IN) = 2.059</t>
  </si>
  <si>
    <t>I.D. - SECONDARY (IN) = 2.080</t>
  </si>
  <si>
    <t>I.D. - SECONDARY MIN (IN) = 2.080</t>
  </si>
  <si>
    <t>LOWER THREAD SECONDARY - SIZE (IN), WT (PPF), TYPE, CONFIG = 2.375, 4.6, NUE, BOX</t>
  </si>
  <si>
    <t>MAKE-UP LENGTH SECONDARY (IN) = 62</t>
  </si>
  <si>
    <t>UPPER THREAD SECONDARY - SIZE (IN), WT (PPF), TYPE, CONFIG = 2.375, 4.6, NUE, BOX</t>
  </si>
  <si>
    <t>I.D. - DRIFT PRIMARY (IN) = 2.867</t>
  </si>
  <si>
    <t>CERTIFICATION STATUS = ISO-V3[150-250F]</t>
  </si>
  <si>
    <t>SETTING MANDREL (PRIMARY/SECONDARY) = PRIMARY</t>
  </si>
  <si>
    <t>Condensed Value</t>
  </si>
  <si>
    <t>I.D. - PRIMARY MIN (IN) = 2.942</t>
  </si>
  <si>
    <t>ACTIVE FLOW WETTED MATERIAL - YIELD STRENGTH (KSI) = 4130/4140/4145[80]</t>
  </si>
  <si>
    <t>APPROXIMATE WEIGHT (LBS) = 840</t>
  </si>
  <si>
    <t>CASING WEIGHT RANGE (PPF) = 40-47</t>
  </si>
  <si>
    <t>DIFFERENTIAL RATING UNPLUGGED (PSI) = 5000</t>
  </si>
  <si>
    <t>EXTERNAL WORKING PRESSURE (PSI) - EOEC AT SPECIFIED TEMP (F) = 4500[250]</t>
  </si>
  <si>
    <t>FEED THROUGH = 2 X 3/8 NPT, 1 X 1-1/4 NPT</t>
  </si>
  <si>
    <t>I.D. - PRIMARY (IN) = 2.952</t>
  </si>
  <si>
    <t>INTERNAL WORKING PRESSURE (PSI) - EOEC AT SPECIFIED TEMP (F) = 4500[250]</t>
  </si>
  <si>
    <t>ISO QUALIFIED CASING ID = 8.920</t>
  </si>
  <si>
    <t>LOWER THREAD CONNECTING - SIZE (IN), WT (PPF), TYPE, CONFIG = 3.500, 9.2, VAM TOP, PIN</t>
  </si>
  <si>
    <t>MAKE-UP LENGTH PRIMARY (IN) = 100</t>
  </si>
  <si>
    <t>MATERIAL/NON FLOW WETTED = 4130/4140/4145, 8620, 17-7PH, SPRING STEEL</t>
  </si>
  <si>
    <t>O.D. - MAX. (IN) = 8.463</t>
  </si>
  <si>
    <t>O.D. (IN) = 8.463</t>
  </si>
  <si>
    <t>OVERALL LENGTH (IN) = 103</t>
  </si>
  <si>
    <t>PACKER ENVELOPE POINTS ISOLATED - LOAD (LBS) = 45000, 45000, 26780, -62540, -85000, -39955</t>
  </si>
  <si>
    <t>PACKER ENVELOPE POINTS UNPLUGGED - LOAD (LBS) = 45000, 45000, 24755, -60045, -85000, -39955</t>
  </si>
  <si>
    <t>QUALITY CONTROL PLAN - QCP = QCP-101507301</t>
  </si>
  <si>
    <t>SETTING PRESSURE 1ST SHEAR (PSI) = 1047</t>
  </si>
  <si>
    <t>SETTING PRESSURE SLIP ENGAGEMENT (PSI) = 1172</t>
  </si>
  <si>
    <t>TENSILE STRENGTH (LBS) - EOEC AT SPECIFIED TEMP (F) = 134500[250]</t>
  </si>
  <si>
    <t>UPPER THREAD CONNECTING - SIZE (IN), WT (PPF), TYPE, CONFIG = 3.500, 9.2, VAM TOP, BOX</t>
  </si>
  <si>
    <t>FALSE</t>
  </si>
  <si>
    <t>MRP</t>
  </si>
  <si>
    <t>BORE I.D. (IN) = 4.000</t>
  </si>
  <si>
    <t>CONVEYANCE METHOD = SERVICE TOOL</t>
  </si>
  <si>
    <t>I.D. - DRIFT (IN) = 3.995</t>
  </si>
  <si>
    <t>I.D. - MIN. (IN) = 4.000</t>
  </si>
  <si>
    <t>I.D. (IN) = 4.003</t>
  </si>
  <si>
    <t>LOWER THREAD CONNECTING - SIZE (IN), WT (PPF), TYPE, CONFIG = 4.937, 6, STUB ACME, PIN</t>
  </si>
  <si>
    <t>OPERATIONS MANUAL = IT# 4011424</t>
  </si>
  <si>
    <t>OVERALL LENGTH (IN) = 64</t>
  </si>
  <si>
    <t>SEAL DIAMETER (IN) = 4.000</t>
  </si>
  <si>
    <t>SETTING FORCE (LB) = SETTING TOOL:40000+AXIAL:20000</t>
  </si>
  <si>
    <t>SHEAR RELEASE FORCE (LB) = 20000</t>
  </si>
  <si>
    <t>TORQUE CAPACITY - EOEC (FT-LBS) = 7000</t>
  </si>
  <si>
    <t>UPPER THREAD CONNECTING - SIZE (IN), WT (PPF), TYPE, CONFIG = 4.500, 4, LEFT HAND SQUARE, BOX</t>
  </si>
  <si>
    <t>I.D. - DRIFT (IN) = 3.833</t>
  </si>
  <si>
    <t>B</t>
  </si>
  <si>
    <t>35000</t>
  </si>
  <si>
    <t>0</t>
  </si>
  <si>
    <t>5000</t>
  </si>
  <si>
    <t>-5000</t>
  </si>
  <si>
    <t>ISOLATED</t>
  </si>
  <si>
    <t>PLUGGED BELOW</t>
  </si>
  <si>
    <t>UNPLUGGED</t>
  </si>
  <si>
    <t>Attribute</t>
  </si>
  <si>
    <t>Reference Part Number</t>
  </si>
  <si>
    <t>New Part Number</t>
  </si>
  <si>
    <t>Class</t>
  </si>
  <si>
    <t>VITON</t>
  </si>
  <si>
    <t>DIMENSIONS</t>
  </si>
  <si>
    <t>QUALITY</t>
  </si>
  <si>
    <t>MATERIALS</t>
  </si>
  <si>
    <r>
      <t>PRESSURE</t>
    </r>
    <r>
      <rPr>
        <b/>
        <sz val="9"/>
        <color theme="1"/>
        <rFont val="Univers LT Std 47 Cn Lt"/>
        <family val="2"/>
      </rPr>
      <t xml:space="preserve"> </t>
    </r>
    <r>
      <rPr>
        <b/>
        <sz val="8"/>
        <color theme="1"/>
        <rFont val="Univers LT Std 47 Cn Lt"/>
        <family val="2"/>
      </rPr>
      <t>RATINGS</t>
    </r>
  </si>
  <si>
    <t>OPERATIONS</t>
  </si>
  <si>
    <r>
      <t>TEMPERATURE</t>
    </r>
    <r>
      <rPr>
        <b/>
        <sz val="9"/>
        <color theme="1"/>
        <rFont val="Univers LT Std 47 Cn Lt"/>
        <family val="2"/>
      </rPr>
      <t xml:space="preserve"> </t>
    </r>
    <r>
      <rPr>
        <b/>
        <sz val="8"/>
        <color theme="1"/>
        <rFont val="Univers LT Std 47 Cn Lt"/>
        <family val="2"/>
      </rPr>
      <t>RATINGS</t>
    </r>
  </si>
  <si>
    <r>
      <t>STRENGTH</t>
    </r>
    <r>
      <rPr>
        <b/>
        <sz val="9"/>
        <color theme="1"/>
        <rFont val="Univers LT Std 47 Cn Lt"/>
        <family val="2"/>
      </rPr>
      <t xml:space="preserve"> </t>
    </r>
    <r>
      <rPr>
        <b/>
        <sz val="8"/>
        <color theme="1"/>
        <rFont val="Univers LT Std 47 Cn Lt"/>
        <family val="2"/>
      </rPr>
      <t>RATINGS</t>
    </r>
  </si>
  <si>
    <t>CONNECTIONS</t>
  </si>
  <si>
    <t>ACTIVE FLOW WETTED MATERIAL - YIELD STRENGTH (KSI) = SUPER 13CR[95]</t>
  </si>
  <si>
    <t>APPROXIMATE WEIGHT (LBS) = 500</t>
  </si>
  <si>
    <t>CASING WEIGHT RANGE (PPF) = 26-29</t>
  </si>
  <si>
    <t>CERTIFICATION STATUS = ISO-V3[100-200F]</t>
  </si>
  <si>
    <t>EXTERNAL WORKING PRESSURE (PSI) - EOEC AT SPECIFIED TEMP (F) = 5000[200]</t>
  </si>
  <si>
    <t>I.D. (IN) = 3.940</t>
  </si>
  <si>
    <t>I.D. - MIN. (IN) = 3.910</t>
  </si>
  <si>
    <t>INTERNAL WORKING PRESSURE (PSI) - EOEC AT SPECIFIED TEMP (F) = 5000[200]</t>
  </si>
  <si>
    <t>ISO QUALIFIED CASING ID (IN) = MAX API ID</t>
  </si>
  <si>
    <t>LOWER THREAD CONNECTING - SIZE (IN), WT (PPF), TYPE, CONFIG = 4.500, 12.75, TENARIS HYDRIL 3SB, PIN</t>
  </si>
  <si>
    <t>MATERIAL/ELASTOMERS = VITON, HNBR</t>
  </si>
  <si>
    <t>MATERIAL/NON FLOW WETTED = 4130/4140, 8620, 925</t>
  </si>
  <si>
    <t>MAX. WORKING TEMPERATURE (DEG.F) = 200</t>
  </si>
  <si>
    <t>O.D. (IN) = 6.000</t>
  </si>
  <si>
    <t>O.D. - MAX. (IN) = 6.000</t>
  </si>
  <si>
    <t>OPERATIONS MANUAL = NA</t>
  </si>
  <si>
    <t>OVERALL LENGTH (IN) = 92</t>
  </si>
  <si>
    <t>PACKER ENVELOPE POINTS UNPLUGGED - LOAD (LBS) = 100000, 97070, -100000, -100000, 100000</t>
  </si>
  <si>
    <t>PACKER ENVELOPE POINTS UNPLUGGED - PRESSURE (PSI) = 0, 5000, 5000, -5000, -5000</t>
  </si>
  <si>
    <t>SEAL DIAMETER (IN) = NA</t>
  </si>
  <si>
    <t>SETTING PRESSURE 1ST SHEAR (PSI) = 1000</t>
  </si>
  <si>
    <t>SETTING PRESSURE SLIP ENGAGEMENT (PSI) = 1119</t>
  </si>
  <si>
    <t>SHEAR RELEASE FORCE (LB) = NA</t>
  </si>
  <si>
    <t>TENSILE STRENGTH (LBS) - EOEC AT SPECIFIED TEMP (F) = 100000[200]</t>
  </si>
  <si>
    <t>UPPER THREAD CONNECTING - SIZE (IN), WT (PPF), TYPE, CONFIG = 4.500, 12.75, TENARIS HYDRIL 3SB, BOX</t>
  </si>
  <si>
    <t>26-29</t>
  </si>
  <si>
    <t>4.500, 12.6, VAM TOP, PIN</t>
  </si>
  <si>
    <t>7</t>
  </si>
  <si>
    <t>200</t>
  </si>
  <si>
    <t>6.000</t>
  </si>
  <si>
    <t>100000</t>
  </si>
  <si>
    <t>97070</t>
  </si>
  <si>
    <t>-100000</t>
  </si>
  <si>
    <t>196263</t>
  </si>
  <si>
    <t>137070</t>
  </si>
  <si>
    <t>-113500</t>
  </si>
  <si>
    <t>-250593</t>
  </si>
  <si>
    <t>-205333</t>
  </si>
  <si>
    <t>90267</t>
  </si>
  <si>
    <t>5183</t>
  </si>
  <si>
    <t>8244</t>
  </si>
  <si>
    <t>10000</t>
  </si>
  <si>
    <t>-10000</t>
  </si>
  <si>
    <t>-7451</t>
  </si>
  <si>
    <t>-79819</t>
  </si>
  <si>
    <t>24602</t>
  </si>
  <si>
    <t>140331</t>
  </si>
  <si>
    <t>97052</t>
  </si>
  <si>
    <t>-99800</t>
  </si>
  <si>
    <t>-216996</t>
  </si>
  <si>
    <t>33459</t>
  </si>
  <si>
    <t>3790</t>
  </si>
  <si>
    <t>5993</t>
  </si>
  <si>
    <t>7500</t>
  </si>
  <si>
    <t>-7500</t>
  </si>
  <si>
    <t>-5328</t>
  </si>
  <si>
    <t>-234896</t>
  </si>
  <si>
    <t>-26785</t>
  </si>
  <si>
    <t>-919</t>
  </si>
  <si>
    <t>APPROXIMATE WEIGHT (LBS) = 203</t>
  </si>
  <si>
    <t>MAKE-UP LENGTH (IN) = 48</t>
  </si>
  <si>
    <t>MAX. CIRCULATION RATE PAST PACKER (BPM) = 8.0</t>
  </si>
  <si>
    <t>O.D. (IN) = 5.998</t>
  </si>
  <si>
    <t>SETTING DIFFERENTIAL PRESSURE - RECOMMENDED (MIN)(PSI) = SETTING TOOL[26.89^2]:1600</t>
  </si>
  <si>
    <t>5993[350]</t>
  </si>
  <si>
    <t>7500[350]</t>
  </si>
  <si>
    <t>AFLAS, VITON</t>
  </si>
  <si>
    <t>140331, 97052, 0, -99800, -250593, -250593, -216996, 33459, 140331</t>
  </si>
  <si>
    <t>0, 3790, 5993, 7500, 7500, 0, -7500, -7500, -5328</t>
  </si>
  <si>
    <t>140331, 97052, 0, -99800, -250593, -250593, -234896, -26785, 140331</t>
  </si>
  <si>
    <t>0, 3790, 5993, 7500, 7500, 0, -919, -7500, -7500</t>
  </si>
  <si>
    <t>140331, 11585, -250593, -250593, -216996, 33459, 140331</t>
  </si>
  <si>
    <t>0, 7500, 7500, 0, -7500, -7500, -5328</t>
  </si>
  <si>
    <t>140331[350]</t>
  </si>
  <si>
    <t>41XX[80]</t>
  </si>
  <si>
    <t>41XX[110], 41XX[80]</t>
  </si>
  <si>
    <t>203</t>
  </si>
  <si>
    <t>4.000</t>
  </si>
  <si>
    <t>ISO-V3[150-350F]</t>
  </si>
  <si>
    <t>SERVICE TOOL</t>
  </si>
  <si>
    <t>8244[350]</t>
  </si>
  <si>
    <t>3.995</t>
  </si>
  <si>
    <t>4.003</t>
  </si>
  <si>
    <t>10000[350]</t>
  </si>
  <si>
    <t>4.937, 6, STUB ACME, PIN</t>
  </si>
  <si>
    <t>48</t>
  </si>
  <si>
    <t>AFLAS</t>
  </si>
  <si>
    <t>41XX, 4340</t>
  </si>
  <si>
    <t>8.0</t>
  </si>
  <si>
    <t>350</t>
  </si>
  <si>
    <t>150</t>
  </si>
  <si>
    <t>5.998</t>
  </si>
  <si>
    <t>IT# 4011424</t>
  </si>
  <si>
    <t>64</t>
  </si>
  <si>
    <t>196263, 137070, 0, -113500, -250593, -250593, -205333, 90267, 196263</t>
  </si>
  <si>
    <t>0, 5183, 8244, 10000, 10000, 0, -10000, -10000, -7451</t>
  </si>
  <si>
    <t>196263, 137070, 0, -113500, -250593, -250593, -79819, 196263</t>
  </si>
  <si>
    <t>0, 5183, 8244, 10000, 10000, 0, -10000, -10000</t>
  </si>
  <si>
    <t>196263, 24602, -250593, -250593, -205333, 90267, 196263</t>
  </si>
  <si>
    <t>0, 10000, 10000, 0, -10000, -10000, -7451</t>
  </si>
  <si>
    <t>SHIFT-TO-RELEASE</t>
  </si>
  <si>
    <t>NO</t>
  </si>
  <si>
    <t>SETTING TOOL[26.89^2]:1600</t>
  </si>
  <si>
    <t>SETTING TOOL:40000+AXIAL:20000</t>
  </si>
  <si>
    <t>20000</t>
  </si>
  <si>
    <t>196263[350]</t>
  </si>
  <si>
    <t>7000</t>
  </si>
  <si>
    <t>4.500, 4, LEFT HAND SQUARE, BOX</t>
  </si>
  <si>
    <t>A</t>
  </si>
  <si>
    <t>Load (lbf)</t>
  </si>
  <si>
    <t>Pressure (psi)</t>
  </si>
  <si>
    <t>ACTIVE FLOW WETTED MATERIAL - YIELD STRENGTH (KSI) = 41XX[80]</t>
  </si>
  <si>
    <t>APPROXIMATE WEIGHT (LBS) = 200</t>
  </si>
  <si>
    <t>CASING WEIGHT RANGE (PPF) = 23-29</t>
  </si>
  <si>
    <t>CERTIFICATION STATUS = ISO-V3[150-325F]</t>
  </si>
  <si>
    <t>DIFFERENTIAL RATING ISOLATED (PSI) = N/A</t>
  </si>
  <si>
    <t>DIFFERENTIAL RATING PLUGGED (PSI) = N/A</t>
  </si>
  <si>
    <t>EXTERNAL WORKING PRESSURE (PSI) - EOEC AT SPECIFIED TEMP (F) = 5000[325]</t>
  </si>
  <si>
    <t>I.D. (IN) = 2.919</t>
  </si>
  <si>
    <t>I.D. - MIN. (IN) = 2.881</t>
  </si>
  <si>
    <t>INTERNAL WORKING PRESSURE (PSI) - EOEC AT SPECIFIED TEMP (F) = 5000[325]</t>
  </si>
  <si>
    <t>LOWER THREAD CONNECTING - SIZE (IN), WT (PPF), TYPE, CONFIG = 3.5, 9.3, EUE, PIN</t>
  </si>
  <si>
    <t>MAKE-UP LENGTH (IN) = 56</t>
  </si>
  <si>
    <t>MATERIAL/NON FLOW WETTED = 41XX</t>
  </si>
  <si>
    <t>MAX. DELTA T (F) = 175</t>
  </si>
  <si>
    <t>O.D. (IN) = 5.994</t>
  </si>
  <si>
    <t>O.D. - MAX. (IN) = 5.999</t>
  </si>
  <si>
    <t>OPERATIONS MANUAL = IT# 6842379</t>
  </si>
  <si>
    <t>OVERALL LENGTH (IN) = 63</t>
  </si>
  <si>
    <t>PACKER ENVELOPE POINTS UNPLUGGED - LOAD (LBS) = 72654, 72654, -13169, -117194, -118033, -118033, 55661, 65242</t>
  </si>
  <si>
    <t>PACKER ENVELOPE POINTS UNPLUGGED - PRESSURE (PSI) = 0, -5000, -5000, -519, 0, 5000, 5000, 4587</t>
  </si>
  <si>
    <t>QUALITY CONTROL PLAN - QCP = SLB HV QCP</t>
  </si>
  <si>
    <t>SEAL DIAMETER (IN) = 3.5</t>
  </si>
  <si>
    <t>SETTING DIFFERENTIAL PRESSURE - RECOMMENDED (MIN)(PSI) = 3000</t>
  </si>
  <si>
    <t>SETTING PRESSURE 1ST SHEAR (PSI) = 1126</t>
  </si>
  <si>
    <t>SETTING PRESSURE SLIP ENGAGEMENT (PSI) = 1126</t>
  </si>
  <si>
    <t>SHEAR RELEASE FORCE (LB) = 103792</t>
  </si>
  <si>
    <t>TENSILE STRENGTH (LBS) - EOEC AT SPECIFIED TEMP (F) = 208000[325]</t>
  </si>
  <si>
    <t>TORQUE CAPACITY - EOEC (FT-LBS) = N/A</t>
  </si>
  <si>
    <t>UPPER THREAD CONNECTING - SIZE (IN), WT (PPF), TYPE, CONFIG = 3.5, 9.3, EUE, BOX</t>
  </si>
  <si>
    <t>3.500， 9.2， VAM TOP, BOX</t>
  </si>
  <si>
    <t>3.500, 9.2, VAM TOP, PIN</t>
  </si>
  <si>
    <t>72654</t>
  </si>
  <si>
    <t>-13169</t>
  </si>
  <si>
    <t>-117194</t>
  </si>
  <si>
    <t>-118033</t>
  </si>
  <si>
    <t>55661</t>
  </si>
  <si>
    <t>65242</t>
  </si>
  <si>
    <t>-519</t>
  </si>
  <si>
    <t>4587</t>
  </si>
  <si>
    <t>EXTERNAL WORKING PRESSURE (PSI) - EOEC AT SPECIFIED TEMP (F) = 6000[325]</t>
  </si>
  <si>
    <t>PACKER ENVELOPE POINTS ISOLATED - LOAD (LBS) = 140331, 97052, 0, -99800, -250593, -250593, -216996, 33459, 140331</t>
  </si>
  <si>
    <t>PACKER ENVELOPE POINTS ISOLATED - PRESSURE (PSI) = 0, 3790, 5993, 7500, 7500, 0, -7500, -7500, -5328</t>
  </si>
  <si>
    <t>PACKER ENVELOPE POINTS PLUGGED - BELOW - LOAD (LBS) = 140331, 97052, 0, -99800, -250593, -250593, -234896, -26785, 140331</t>
  </si>
  <si>
    <t>PACKER ENVELOPE POINTS PLUGGED - BELOW - PRESSURE (PSI) = 0, 3790, 5993, 7500, 7500, 0, -919, -7500, -7500</t>
  </si>
  <si>
    <t>PACKER ENVELOPE POINTS UNPLUGGED - LOAD (LBS) = 140331, 11585, -250593, -250593, -216996, 33459, 140331</t>
  </si>
  <si>
    <t>PACKER ENVELOPE POINTS UNPLUGGED - PRESSURE (PSI) = 0, 7500, 7500, 0, -7500, -7500, -5328</t>
  </si>
  <si>
    <t>QUALITY CONTROL PLAN - QCP = QCP-101154743</t>
  </si>
  <si>
    <t>TENSILE STRENGTH (LBS) - EOEC AT SPECIFIED TEMP (F) = 140331[325]</t>
  </si>
  <si>
    <t xml:space="preserve">PACKER ENVELOPE POINTS UNPLUGGED - LOAD (LBS) </t>
  </si>
  <si>
    <t>APPROXIMATE WEIGHT (LBS) = 700</t>
  </si>
  <si>
    <t>BORE I.D. (IN) = 4.750</t>
  </si>
  <si>
    <t>CERTIFICATION STATUS = N/A</t>
  </si>
  <si>
    <t>DIFFERENTIAL RATING UNPLUGGED (PSI) = N/A</t>
  </si>
  <si>
    <t>EXTERNAL WORKING PRESSURE (PSI) - EOEC AT SPECIFIED TEMP (F) = N/A</t>
  </si>
  <si>
    <t>I.D. (IN) = 3.928</t>
  </si>
  <si>
    <t>I.D. - MIN. (IN) = 3.918</t>
  </si>
  <si>
    <t>INTERNAL WORKING PRESSURE (PSI) - EOEC AT SPECIFIED TEMP (F) = N/A</t>
  </si>
  <si>
    <t>LOWER THREAD CONNECTING - SIZE (IN), WT (PPF), TYPE, CONFIG = 4.500, 12.6, NEW VAM, PIN</t>
  </si>
  <si>
    <t>MAKE-UP LENGTH (IN) = 75</t>
  </si>
  <si>
    <t>MATERIAL/ELASTOMERS = NITRILE</t>
  </si>
  <si>
    <t>MATERIAL/ELEMENTS = NITRILE</t>
  </si>
  <si>
    <t>MATERIAL/NON FLOW WETTED = 41XX, 8620, DUCTILE CAST IRON</t>
  </si>
  <si>
    <t>MATERIAL/O-RING(S) = NITRILE</t>
  </si>
  <si>
    <t>O.D. (IN) = 8.440</t>
  </si>
  <si>
    <t>O.D. - MAX. (IN) = 8.445</t>
  </si>
  <si>
    <t>OPERATIONS MANUAL = IT# 3311294</t>
  </si>
  <si>
    <t>OVERALL LENGTH (IN) = 79</t>
  </si>
  <si>
    <t>PACKER ENVELOPE POINTS ISOLATED - PRESSURE (PSI) = N/A</t>
  </si>
  <si>
    <t>PACKER ENVELOPE POINTS ISOLATED - LOAD (LBS) = N/A</t>
  </si>
  <si>
    <t>PACKER ENVELOPE POINTS PLUGGED - BELOW - PRESSURE (PSI) = N/A</t>
  </si>
  <si>
    <t>PACKER ENVELOPE POINTS PLUGGED - BELOW - LOAD (LBS) = N/A</t>
  </si>
  <si>
    <t>PACKER ENVELOPE POINTS UNPLUGGED - PRESSURE (PSI) = N/A</t>
  </si>
  <si>
    <t>PACKER ENVELOPE POINTS UNPLUGGED - LOAD (LBS) = N/A</t>
  </si>
  <si>
    <t xml:space="preserve">RETRIEVAL METHOD = SHIFT-TO-RELEASE </t>
  </si>
  <si>
    <t>SEAL DIAMETER (IN) = 4.750</t>
  </si>
  <si>
    <t>SETTING DIFFERENTIAL PRESSURE - RECOMMENDED (MIN)(PSI) = 3300</t>
  </si>
  <si>
    <t>TENSILE STRENGTH (LBS) - EOEC AT SPECIFIED TEMP (F) = 200000[250]</t>
  </si>
  <si>
    <t>UPPER THREAD CONNECTING - SIZE (IN), WT (PPF), TYPE, CONFIG = 5.250, 4, LEFT HAND SQUARE,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</si>
</sst>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2">
    <font>
      <sz val="11"/>
      <color theme="1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theme="0"/>
      <name val="宋体"/>
      <family val="2"/>
      <scheme val="minor"/>
    </font>
    <font>
      <u/>
      <sz val="11"/>
      <color theme="1"/>
      <name val="宋体"/>
      <family val="2"/>
      <scheme val="minor"/>
    </font>
    <font>
      <sz val="11"/>
      <color theme="1"/>
      <name val="宋体"/>
      <family val="1"/>
      <scheme val="major"/>
    </font>
    <font>
      <sz val="11"/>
      <color rgb="FF3F3F76"/>
      <name val="宋体"/>
      <family val="1"/>
      <scheme val="major"/>
    </font>
    <font>
      <sz val="11"/>
      <color rgb="FF006100"/>
      <name val="宋体"/>
      <family val="1"/>
      <scheme val="major"/>
    </font>
    <font>
      <u/>
      <sz val="11"/>
      <color theme="1"/>
      <name val="宋体"/>
      <family val="1"/>
      <scheme val="major"/>
    </font>
    <font>
      <sz val="11"/>
      <color rgb="FFFF0000"/>
      <name val="宋体"/>
      <family val="1"/>
      <scheme val="major"/>
    </font>
    <font>
      <sz val="11"/>
      <color theme="0"/>
      <name val="宋体"/>
      <family val="1"/>
      <scheme val="major"/>
    </font>
    <font>
      <sz val="11"/>
      <color theme="1"/>
      <name val="宋体"/>
      <family val="1"/>
      <scheme val="major"/>
    </font>
    <font>
      <u/>
      <sz val="11"/>
      <color theme="1"/>
      <name val="宋体"/>
      <family val="2"/>
      <scheme val="minor"/>
    </font>
    <font>
      <sz val="11"/>
      <color theme="0"/>
      <name val="宋体"/>
      <family val="1"/>
      <scheme val="major"/>
    </font>
    <font>
      <b/>
      <sz val="11"/>
      <color rgb="FF3F3F3F"/>
      <name val="宋体"/>
      <family val="2"/>
      <scheme val="minor"/>
    </font>
    <font>
      <sz val="10"/>
      <color theme="1"/>
      <name val="Arial"/>
      <family val="2"/>
    </font>
    <font>
      <sz val="10"/>
      <color rgb="FF0033CC"/>
      <name val="Arial"/>
      <family val="2"/>
    </font>
    <font>
      <sz val="11"/>
      <color rgb="FF3F3F3F"/>
      <name val="宋体"/>
      <family val="1"/>
      <scheme val="major"/>
    </font>
    <font>
      <sz val="11"/>
      <color theme="1"/>
      <name val="宋体"/>
      <family val="2"/>
      <scheme val="minor"/>
    </font>
    <font>
      <b/>
      <sz val="11"/>
      <color rgb="FFFA7D00"/>
      <name val="宋体"/>
      <family val="2"/>
      <scheme val="minor"/>
    </font>
    <font>
      <b/>
      <sz val="9"/>
      <name val="宋体"/>
      <family val="2"/>
      <scheme val="minor"/>
    </font>
    <font>
      <sz val="7.5"/>
      <color rgb="FF1F497D"/>
      <name val="宋体"/>
      <family val="2"/>
      <scheme val="minor"/>
    </font>
    <font>
      <sz val="7.5"/>
      <color rgb="FF000000"/>
      <name val="宋体"/>
      <family val="2"/>
      <scheme val="minor"/>
    </font>
    <font>
      <b/>
      <sz val="8"/>
      <color theme="1"/>
      <name val="Univers LT Std 47 Cn Lt"/>
      <family val="2"/>
    </font>
    <font>
      <sz val="8"/>
      <color theme="1"/>
      <name val="Univers LT Std 47 Cn Lt"/>
      <family val="2"/>
    </font>
    <font>
      <b/>
      <sz val="9"/>
      <color theme="1"/>
      <name val="Univers LT Std 47 Cn Lt"/>
      <family val="2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  <font>
      <sz val="11"/>
      <color theme="0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11"/>
      <color rgb="FF3F3F76"/>
      <name val="宋体"/>
      <family val="3"/>
      <charset val="134"/>
      <scheme val="major"/>
    </font>
    <font>
      <sz val="11"/>
      <color rgb="FF006100"/>
      <name val="宋体"/>
      <family val="3"/>
      <charset val="134"/>
      <scheme val="maj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theme="8" tint="0.79998168889431442"/>
        <bgColor indexed="65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14" fillId="5" borderId="4" applyNumberFormat="0" applyAlignment="0" applyProtection="0"/>
    <xf numFmtId="0" fontId="18" fillId="6" borderId="0" applyNumberFormat="0" applyBorder="0" applyAlignment="0" applyProtection="0"/>
    <xf numFmtId="0" fontId="19" fillId="5" borderId="1" applyNumberFormat="0" applyAlignment="0" applyProtection="0"/>
  </cellStyleXfs>
  <cellXfs count="68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1" xfId="2" applyFont="1" applyAlignment="1" applyProtection="1">
      <protection locked="0"/>
    </xf>
    <xf numFmtId="0" fontId="7" fillId="2" borderId="3" xfId="1" applyFont="1" applyBorder="1" applyAlignment="1"/>
    <xf numFmtId="0" fontId="8" fillId="0" borderId="0" xfId="0" applyFont="1" applyAlignment="1">
      <alignment horizontal="center"/>
    </xf>
    <xf numFmtId="0" fontId="9" fillId="3" borderId="1" xfId="2" applyFont="1" applyAlignment="1" applyProtection="1">
      <protection locked="0"/>
    </xf>
    <xf numFmtId="0" fontId="10" fillId="4" borderId="2" xfId="3" applyFont="1"/>
    <xf numFmtId="49" fontId="6" fillId="3" borderId="1" xfId="2" applyNumberFormat="1" applyFont="1" applyAlignment="1" applyProtection="1">
      <protection locked="0"/>
    </xf>
    <xf numFmtId="0" fontId="11" fillId="0" borderId="0" xfId="0" applyFont="1"/>
    <xf numFmtId="0" fontId="12" fillId="0" borderId="0" xfId="0" applyFont="1" applyFill="1" applyAlignment="1">
      <alignment horizontal="center"/>
    </xf>
    <xf numFmtId="176" fontId="0" fillId="0" borderId="0" xfId="0" applyNumberFormat="1"/>
    <xf numFmtId="0" fontId="13" fillId="4" borderId="2" xfId="3" applyFont="1"/>
    <xf numFmtId="0" fontId="4" fillId="0" borderId="0" xfId="0" applyFont="1" applyFill="1" applyAlignment="1">
      <alignment horizontal="center"/>
    </xf>
    <xf numFmtId="0" fontId="7" fillId="2" borderId="0" xfId="1" applyFont="1" applyBorder="1" applyAlignment="1"/>
    <xf numFmtId="0" fontId="5" fillId="0" borderId="0" xfId="0" applyNumberFormat="1" applyFont="1"/>
    <xf numFmtId="0" fontId="6" fillId="3" borderId="1" xfId="2" applyNumberFormat="1" applyFont="1" applyAlignment="1" applyProtection="1">
      <protection locked="0"/>
    </xf>
    <xf numFmtId="0" fontId="7" fillId="2" borderId="0" xfId="1" applyFont="1" applyAlignment="1"/>
    <xf numFmtId="49" fontId="8" fillId="0" borderId="0" xfId="0" applyNumberFormat="1" applyFont="1" applyAlignment="1">
      <alignment horizontal="center"/>
    </xf>
    <xf numFmtId="49" fontId="6" fillId="3" borderId="1" xfId="2" quotePrefix="1" applyNumberFormat="1" applyFont="1" applyAlignment="1" applyProtection="1">
      <protection locked="0"/>
    </xf>
    <xf numFmtId="49" fontId="9" fillId="3" borderId="1" xfId="2" applyNumberFormat="1" applyFont="1" applyAlignment="1" applyProtection="1">
      <protection locked="0"/>
    </xf>
    <xf numFmtId="49" fontId="0" fillId="0" borderId="0" xfId="0" applyNumberFormat="1"/>
    <xf numFmtId="0" fontId="6" fillId="3" borderId="1" xfId="2" applyFont="1" applyAlignment="1" applyProtection="1"/>
    <xf numFmtId="0" fontId="10" fillId="4" borderId="2" xfId="3" applyFont="1" applyProtection="1"/>
    <xf numFmtId="0" fontId="5" fillId="0" borderId="0" xfId="0" applyFont="1" applyProtection="1"/>
    <xf numFmtId="0" fontId="14" fillId="5" borderId="4" xfId="4" applyAlignment="1" applyProtection="1"/>
    <xf numFmtId="0" fontId="7" fillId="2" borderId="3" xfId="1" applyFont="1" applyBorder="1" applyAlignment="1" applyProtection="1"/>
    <xf numFmtId="0" fontId="0" fillId="0" borderId="0" xfId="0" applyProtection="1"/>
    <xf numFmtId="0" fontId="11" fillId="0" borderId="0" xfId="0" applyFont="1" applyProtection="1"/>
    <xf numFmtId="0" fontId="13" fillId="4" borderId="2" xfId="3" applyFont="1" applyProtection="1"/>
    <xf numFmtId="0" fontId="8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5" fillId="0" borderId="5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6" fillId="0" borderId="7" xfId="0" applyFont="1" applyBorder="1" applyAlignment="1">
      <alignment vertical="center" wrapText="1"/>
    </xf>
    <xf numFmtId="0" fontId="15" fillId="0" borderId="8" xfId="0" applyFont="1" applyBorder="1" applyAlignment="1">
      <alignment vertical="center" wrapText="1"/>
    </xf>
    <xf numFmtId="0" fontId="9" fillId="3" borderId="1" xfId="2" applyFont="1" applyAlignment="1" applyProtection="1"/>
    <xf numFmtId="49" fontId="6" fillId="3" borderId="1" xfId="2" applyNumberFormat="1" applyFont="1" applyAlignment="1" applyProtection="1"/>
    <xf numFmtId="0" fontId="15" fillId="0" borderId="0" xfId="0" applyFont="1" applyAlignment="1">
      <alignment vertical="center"/>
    </xf>
    <xf numFmtId="0" fontId="7" fillId="2" borderId="0" xfId="1" applyFont="1" applyBorder="1" applyAlignment="1" applyProtection="1"/>
    <xf numFmtId="0" fontId="5" fillId="0" borderId="0" xfId="0" applyNumberFormat="1" applyFont="1" applyProtection="1"/>
    <xf numFmtId="0" fontId="17" fillId="5" borderId="4" xfId="4" applyNumberFormat="1" applyFont="1" applyAlignment="1" applyProtection="1"/>
    <xf numFmtId="0" fontId="14" fillId="5" borderId="4" xfId="4" applyNumberFormat="1" applyAlignment="1" applyProtection="1"/>
    <xf numFmtId="0" fontId="7" fillId="2" borderId="0" xfId="1" applyFont="1" applyAlignment="1" applyProtection="1"/>
    <xf numFmtId="0" fontId="15" fillId="0" borderId="6" xfId="0" applyFont="1" applyBorder="1" applyAlignment="1">
      <alignment horizontal="center" vertical="center" wrapText="1"/>
    </xf>
    <xf numFmtId="0" fontId="18" fillId="6" borderId="0" xfId="5"/>
    <xf numFmtId="0" fontId="2" fillId="3" borderId="1" xfId="2" applyAlignment="1">
      <alignment vertical="center"/>
    </xf>
    <xf numFmtId="0" fontId="1" fillId="2" borderId="0" xfId="1"/>
    <xf numFmtId="0" fontId="19" fillId="5" borderId="1" xfId="6"/>
    <xf numFmtId="0" fontId="20" fillId="0" borderId="5" xfId="0" applyFont="1" applyBorder="1" applyAlignment="1">
      <alignment vertical="center" wrapText="1"/>
    </xf>
    <xf numFmtId="0" fontId="20" fillId="0" borderId="6" xfId="0" applyFont="1" applyBorder="1" applyAlignment="1">
      <alignment horizontal="center" vertical="center" wrapText="1"/>
    </xf>
    <xf numFmtId="0" fontId="21" fillId="0" borderId="9" xfId="0" applyFont="1" applyBorder="1" applyAlignment="1">
      <alignment vertical="center" wrapText="1"/>
    </xf>
    <xf numFmtId="0" fontId="21" fillId="0" borderId="7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14" fontId="21" fillId="0" borderId="7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0" xfId="0" applyNumberFormat="1" applyFont="1" applyAlignment="1">
      <alignment vertical="center" wrapText="1"/>
    </xf>
    <xf numFmtId="0" fontId="6" fillId="3" borderId="1" xfId="2" quotePrefix="1" applyFont="1" applyAlignment="1" applyProtection="1">
      <protection locked="0"/>
    </xf>
    <xf numFmtId="0" fontId="28" fillId="4" borderId="2" xfId="3" applyFont="1"/>
    <xf numFmtId="0" fontId="29" fillId="0" borderId="0" xfId="0" applyNumberFormat="1" applyFont="1"/>
    <xf numFmtId="0" fontId="30" fillId="3" borderId="1" xfId="2" applyFont="1" applyAlignment="1" applyProtection="1">
      <protection locked="0"/>
    </xf>
    <xf numFmtId="0" fontId="30" fillId="3" borderId="1" xfId="2" applyNumberFormat="1" applyFont="1" applyBorder="1" applyAlignment="1" applyProtection="1">
      <protection locked="0"/>
    </xf>
    <xf numFmtId="0" fontId="30" fillId="3" borderId="1" xfId="2" applyNumberFormat="1" applyFont="1" applyAlignment="1" applyProtection="1"/>
    <xf numFmtId="0" fontId="31" fillId="2" borderId="0" xfId="1" applyFont="1" applyBorder="1" applyAlignment="1"/>
    <xf numFmtId="0" fontId="31" fillId="0" borderId="0" xfId="0" applyFont="1" applyAlignment="1"/>
    <xf numFmtId="0" fontId="29" fillId="0" borderId="0" xfId="0" applyFont="1"/>
  </cellXfs>
  <cellStyles count="7">
    <cellStyle name="20% - 着色 5" xfId="5" builtinId="46"/>
    <cellStyle name="常规" xfId="0" builtinId="0"/>
    <cellStyle name="好" xfId="1" builtinId="26"/>
    <cellStyle name="计算" xfId="6" builtinId="22"/>
    <cellStyle name="检查单元格" xfId="3" builtinId="23"/>
    <cellStyle name="输出" xfId="4" builtinId="21"/>
    <cellStyle name="输入" xfId="2" builtinId="20"/>
  </cellStyles>
  <dxfs count="14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color rgb="FF3F3F76"/>
        <name val="Cambria"/>
        <scheme val="major"/>
      </font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border outline="0">
        <left style="thin">
          <color rgb="FF7F7F7F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border outline="0">
        <right style="thin">
          <color rgb="FF7F7F7F"/>
        </right>
      </border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border outline="0">
        <left style="thin">
          <color rgb="FF7F7F7F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border outline="0">
        <right style="thin">
          <color rgb="FF7F7F7F"/>
        </right>
      </border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30" formatCode="@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protection locked="1" hidden="0"/>
    </dxf>
    <dxf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protection locked="1" hidden="0"/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859712235639297E-2"/>
          <c:y val="2.418154473530526E-2"/>
          <c:w val="0.91968737541077428"/>
          <c:h val="0.84588584218309937"/>
        </c:manualLayout>
      </c:layout>
      <c:scatterChart>
        <c:scatterStyle val="lineMarker"/>
        <c:varyColors val="0"/>
        <c:ser>
          <c:idx val="2"/>
          <c:order val="0"/>
          <c:tx>
            <c:strRef>
              <c:f>Plot!$A$23</c:f>
              <c:strCache>
                <c:ptCount val="1"/>
                <c:pt idx="0">
                  <c:v>UNPLUGGED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Plot!$B$24:$J$24</c:f>
              <c:numCache>
                <c:formatCode>General</c:formatCode>
                <c:ptCount val="9"/>
                <c:pt idx="0">
                  <c:v>0</c:v>
                </c:pt>
                <c:pt idx="1">
                  <c:v>-5000</c:v>
                </c:pt>
                <c:pt idx="2">
                  <c:v>-5000</c:v>
                </c:pt>
                <c:pt idx="3">
                  <c:v>-519</c:v>
                </c:pt>
                <c:pt idx="4">
                  <c:v>0</c:v>
                </c:pt>
                <c:pt idx="5">
                  <c:v>5000</c:v>
                </c:pt>
                <c:pt idx="6">
                  <c:v>5000</c:v>
                </c:pt>
                <c:pt idx="7">
                  <c:v>4587</c:v>
                </c:pt>
              </c:numCache>
            </c:numRef>
          </c:xVal>
          <c:yVal>
            <c:numRef>
              <c:f>Plot!$B$23:$J$23</c:f>
              <c:numCache>
                <c:formatCode>General</c:formatCode>
                <c:ptCount val="9"/>
                <c:pt idx="0">
                  <c:v>72654</c:v>
                </c:pt>
                <c:pt idx="1">
                  <c:v>72654</c:v>
                </c:pt>
                <c:pt idx="2">
                  <c:v>-13169</c:v>
                </c:pt>
                <c:pt idx="3">
                  <c:v>-117194</c:v>
                </c:pt>
                <c:pt idx="4">
                  <c:v>-118033</c:v>
                </c:pt>
                <c:pt idx="5">
                  <c:v>-118033</c:v>
                </c:pt>
                <c:pt idx="6">
                  <c:v>55661</c:v>
                </c:pt>
                <c:pt idx="7">
                  <c:v>65242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5D5-4D52-86DF-85DF146A8973}"/>
            </c:ext>
          </c:extLst>
        </c:ser>
        <c:ser>
          <c:idx val="0"/>
          <c:order val="1"/>
          <c:tx>
            <c:strRef>
              <c:f>Plot!$A$19</c:f>
              <c:strCache>
                <c:ptCount val="1"/>
                <c:pt idx="0">
                  <c:v>ISOLATED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Plot!$B$20:$K$20</c:f>
              <c:numCache>
                <c:formatCode>General</c:formatCode>
                <c:ptCount val="10"/>
                <c:pt idx="0">
                  <c:v>0</c:v>
                </c:pt>
                <c:pt idx="1">
                  <c:v>3790</c:v>
                </c:pt>
                <c:pt idx="2">
                  <c:v>5993</c:v>
                </c:pt>
                <c:pt idx="3">
                  <c:v>7500</c:v>
                </c:pt>
                <c:pt idx="4">
                  <c:v>7500</c:v>
                </c:pt>
                <c:pt idx="5">
                  <c:v>0</c:v>
                </c:pt>
                <c:pt idx="6">
                  <c:v>-7500</c:v>
                </c:pt>
                <c:pt idx="7">
                  <c:v>-7500</c:v>
                </c:pt>
                <c:pt idx="8">
                  <c:v>-5328</c:v>
                </c:pt>
                <c:pt idx="9">
                  <c:v>0</c:v>
                </c:pt>
              </c:numCache>
            </c:numRef>
          </c:xVal>
          <c:yVal>
            <c:numRef>
              <c:f>Plot!$B$19:$K$19</c:f>
              <c:numCache>
                <c:formatCode>General</c:formatCode>
                <c:ptCount val="10"/>
                <c:pt idx="0">
                  <c:v>0</c:v>
                </c:pt>
                <c:pt idx="1">
                  <c:v>97052</c:v>
                </c:pt>
                <c:pt idx="2">
                  <c:v>0</c:v>
                </c:pt>
                <c:pt idx="3">
                  <c:v>-99800</c:v>
                </c:pt>
                <c:pt idx="4">
                  <c:v>-250593</c:v>
                </c:pt>
                <c:pt idx="5">
                  <c:v>-250593</c:v>
                </c:pt>
                <c:pt idx="6">
                  <c:v>-216996</c:v>
                </c:pt>
                <c:pt idx="7">
                  <c:v>33459</c:v>
                </c:pt>
                <c:pt idx="8">
                  <c:v>140331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B-4DD5-923A-489AC8C4C171}"/>
            </c:ext>
          </c:extLst>
        </c:ser>
        <c:ser>
          <c:idx val="1"/>
          <c:order val="2"/>
          <c:tx>
            <c:strRef>
              <c:f>Plot!$A$21</c:f>
              <c:strCache>
                <c:ptCount val="1"/>
                <c:pt idx="0">
                  <c:v>PLUGGED BELOW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Plot!$B$22:$K$22</c:f>
              <c:numCache>
                <c:formatCode>General</c:formatCode>
                <c:ptCount val="10"/>
                <c:pt idx="0">
                  <c:v>0</c:v>
                </c:pt>
                <c:pt idx="1">
                  <c:v>3790</c:v>
                </c:pt>
                <c:pt idx="2">
                  <c:v>5993</c:v>
                </c:pt>
                <c:pt idx="3">
                  <c:v>7500</c:v>
                </c:pt>
                <c:pt idx="4">
                  <c:v>7500</c:v>
                </c:pt>
                <c:pt idx="5">
                  <c:v>0</c:v>
                </c:pt>
                <c:pt idx="6">
                  <c:v>-919</c:v>
                </c:pt>
                <c:pt idx="7">
                  <c:v>-7500</c:v>
                </c:pt>
                <c:pt idx="8">
                  <c:v>-7500</c:v>
                </c:pt>
                <c:pt idx="9">
                  <c:v>0</c:v>
                </c:pt>
              </c:numCache>
            </c:numRef>
          </c:xVal>
          <c:yVal>
            <c:numRef>
              <c:f>Plot!$B$21:$K$21</c:f>
              <c:numCache>
                <c:formatCode>General</c:formatCode>
                <c:ptCount val="10"/>
                <c:pt idx="0">
                  <c:v>0</c:v>
                </c:pt>
                <c:pt idx="1">
                  <c:v>97052</c:v>
                </c:pt>
                <c:pt idx="2">
                  <c:v>0</c:v>
                </c:pt>
                <c:pt idx="3">
                  <c:v>-99800</c:v>
                </c:pt>
                <c:pt idx="4">
                  <c:v>-250593</c:v>
                </c:pt>
                <c:pt idx="5">
                  <c:v>-250593</c:v>
                </c:pt>
                <c:pt idx="6">
                  <c:v>-234896</c:v>
                </c:pt>
                <c:pt idx="7">
                  <c:v>-26785</c:v>
                </c:pt>
                <c:pt idx="8">
                  <c:v>140331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2B-4DD5-923A-489AC8C4C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078040"/>
        <c:axId val="670077712"/>
      </c:scatterChart>
      <c:valAx>
        <c:axId val="670078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(ABOVE)</a:t>
                </a:r>
                <a:r>
                  <a:rPr lang="en-US" sz="1600" b="1" baseline="0"/>
                  <a:t>		DIFFERENTIAL PRESSURE (PSI)		(BELOW)</a:t>
                </a:r>
                <a:endParaRPr lang="en-US" sz="16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0077712"/>
        <c:crosses val="autoZero"/>
        <c:crossBetween val="midCat"/>
        <c:majorUnit val="1000"/>
      </c:valAx>
      <c:valAx>
        <c:axId val="67007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(COMPRESSION</a:t>
                </a:r>
                <a:r>
                  <a:rPr lang="en-US" sz="1600" b="1" baseline="0"/>
                  <a:t>) 	LOAD(LBF) 	(TENSION)</a:t>
                </a:r>
                <a:endParaRPr lang="en-US" sz="16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0078040"/>
        <c:crosses val="autoZero"/>
        <c:crossBetween val="midCat"/>
        <c:majorUnit val="2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Plot!$A$23</c:f>
              <c:strCache>
                <c:ptCount val="1"/>
                <c:pt idx="0">
                  <c:v>UNPLUGGED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Plot!$B$24:$I$24</c:f>
              <c:numCache>
                <c:formatCode>General</c:formatCode>
                <c:ptCount val="8"/>
                <c:pt idx="0">
                  <c:v>0</c:v>
                </c:pt>
                <c:pt idx="1">
                  <c:v>-5000</c:v>
                </c:pt>
                <c:pt idx="2">
                  <c:v>-5000</c:v>
                </c:pt>
                <c:pt idx="3">
                  <c:v>-519</c:v>
                </c:pt>
                <c:pt idx="4">
                  <c:v>0</c:v>
                </c:pt>
                <c:pt idx="5">
                  <c:v>5000</c:v>
                </c:pt>
                <c:pt idx="6">
                  <c:v>5000</c:v>
                </c:pt>
                <c:pt idx="7">
                  <c:v>4587</c:v>
                </c:pt>
              </c:numCache>
            </c:numRef>
          </c:xVal>
          <c:yVal>
            <c:numRef>
              <c:f>Plot!$B$23:$I$23</c:f>
              <c:numCache>
                <c:formatCode>General</c:formatCode>
                <c:ptCount val="8"/>
                <c:pt idx="0">
                  <c:v>72654</c:v>
                </c:pt>
                <c:pt idx="1">
                  <c:v>72654</c:v>
                </c:pt>
                <c:pt idx="2">
                  <c:v>-13169</c:v>
                </c:pt>
                <c:pt idx="3">
                  <c:v>-117194</c:v>
                </c:pt>
                <c:pt idx="4">
                  <c:v>-118033</c:v>
                </c:pt>
                <c:pt idx="5">
                  <c:v>-118033</c:v>
                </c:pt>
                <c:pt idx="6">
                  <c:v>55661</c:v>
                </c:pt>
                <c:pt idx="7">
                  <c:v>65242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72-4D9A-9D81-1450C822BA3B}"/>
            </c:ext>
          </c:extLst>
        </c:ser>
        <c:ser>
          <c:idx val="0"/>
          <c:order val="1"/>
          <c:tx>
            <c:v>Ref. UNPLUGGED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Plot!$M$24:$T$24</c:f>
              <c:numCache>
                <c:formatCode>General</c:formatCode>
                <c:ptCount val="8"/>
                <c:pt idx="0">
                  <c:v>0</c:v>
                </c:pt>
                <c:pt idx="1">
                  <c:v>10000</c:v>
                </c:pt>
                <c:pt idx="2">
                  <c:v>10000</c:v>
                </c:pt>
                <c:pt idx="3">
                  <c:v>0</c:v>
                </c:pt>
                <c:pt idx="4">
                  <c:v>-10000</c:v>
                </c:pt>
                <c:pt idx="5">
                  <c:v>-10000</c:v>
                </c:pt>
                <c:pt idx="6">
                  <c:v>-7451</c:v>
                </c:pt>
                <c:pt idx="7">
                  <c:v>0</c:v>
                </c:pt>
              </c:numCache>
            </c:numRef>
          </c:xVal>
          <c:yVal>
            <c:numRef>
              <c:f>Plot!$M$23:$T$23</c:f>
              <c:numCache>
                <c:formatCode>General</c:formatCode>
                <c:ptCount val="8"/>
                <c:pt idx="0">
                  <c:v>196263</c:v>
                </c:pt>
                <c:pt idx="1">
                  <c:v>24602</c:v>
                </c:pt>
                <c:pt idx="2">
                  <c:v>-250593</c:v>
                </c:pt>
                <c:pt idx="3">
                  <c:v>-250593</c:v>
                </c:pt>
                <c:pt idx="4">
                  <c:v>-205333</c:v>
                </c:pt>
                <c:pt idx="5">
                  <c:v>90267</c:v>
                </c:pt>
                <c:pt idx="6">
                  <c:v>196263</c:v>
                </c:pt>
                <c:pt idx="7">
                  <c:v>196263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072-4D9A-9D81-1450C822B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367512"/>
        <c:axId val="354367184"/>
      </c:scatterChart>
      <c:valAx>
        <c:axId val="354367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4367184"/>
        <c:crosses val="autoZero"/>
        <c:crossBetween val="midCat"/>
      </c:valAx>
      <c:valAx>
        <c:axId val="35436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4367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Plot!$A$21</c:f>
              <c:strCache>
                <c:ptCount val="1"/>
                <c:pt idx="0">
                  <c:v>PLUGGED BELOW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5.9612272392599976E-3"/>
                  <c:y val="-0.1061731099718051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A3-49AD-AEF0-C0C980D5A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Plot!$B$22:$K$22</c:f>
              <c:numCache>
                <c:formatCode>General</c:formatCode>
                <c:ptCount val="10"/>
                <c:pt idx="0">
                  <c:v>0</c:v>
                </c:pt>
                <c:pt idx="1">
                  <c:v>3790</c:v>
                </c:pt>
                <c:pt idx="2">
                  <c:v>5993</c:v>
                </c:pt>
                <c:pt idx="3">
                  <c:v>7500</c:v>
                </c:pt>
                <c:pt idx="4">
                  <c:v>7500</c:v>
                </c:pt>
                <c:pt idx="5">
                  <c:v>0</c:v>
                </c:pt>
                <c:pt idx="6">
                  <c:v>-919</c:v>
                </c:pt>
                <c:pt idx="7">
                  <c:v>-7500</c:v>
                </c:pt>
                <c:pt idx="8">
                  <c:v>-7500</c:v>
                </c:pt>
                <c:pt idx="9">
                  <c:v>0</c:v>
                </c:pt>
              </c:numCache>
            </c:numRef>
          </c:xVal>
          <c:yVal>
            <c:numRef>
              <c:f>Plot!$B$21:$K$21</c:f>
              <c:numCache>
                <c:formatCode>General</c:formatCode>
                <c:ptCount val="10"/>
                <c:pt idx="0">
                  <c:v>0</c:v>
                </c:pt>
                <c:pt idx="1">
                  <c:v>97052</c:v>
                </c:pt>
                <c:pt idx="2">
                  <c:v>0</c:v>
                </c:pt>
                <c:pt idx="3">
                  <c:v>-99800</c:v>
                </c:pt>
                <c:pt idx="4">
                  <c:v>-250593</c:v>
                </c:pt>
                <c:pt idx="5">
                  <c:v>-250593</c:v>
                </c:pt>
                <c:pt idx="6">
                  <c:v>-234896</c:v>
                </c:pt>
                <c:pt idx="7">
                  <c:v>-26785</c:v>
                </c:pt>
                <c:pt idx="8">
                  <c:v>140331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A-40E6-9CB0-4235C660E02B}"/>
            </c:ext>
          </c:extLst>
        </c:ser>
        <c:ser>
          <c:idx val="1"/>
          <c:order val="1"/>
          <c:tx>
            <c:v>Ref. PLUGGED BELOW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Plot!$M$22:$U$22</c:f>
              <c:numCache>
                <c:formatCode>General</c:formatCode>
                <c:ptCount val="9"/>
                <c:pt idx="0">
                  <c:v>0</c:v>
                </c:pt>
                <c:pt idx="1">
                  <c:v>5183</c:v>
                </c:pt>
                <c:pt idx="2">
                  <c:v>8244</c:v>
                </c:pt>
                <c:pt idx="3">
                  <c:v>10000</c:v>
                </c:pt>
                <c:pt idx="4">
                  <c:v>10000</c:v>
                </c:pt>
                <c:pt idx="5">
                  <c:v>0</c:v>
                </c:pt>
                <c:pt idx="6">
                  <c:v>-10000</c:v>
                </c:pt>
                <c:pt idx="7">
                  <c:v>-10000</c:v>
                </c:pt>
                <c:pt idx="8">
                  <c:v>0</c:v>
                </c:pt>
              </c:numCache>
            </c:numRef>
          </c:xVal>
          <c:yVal>
            <c:numRef>
              <c:f>Plot!$M$21:$U$21</c:f>
              <c:numCache>
                <c:formatCode>General</c:formatCode>
                <c:ptCount val="9"/>
                <c:pt idx="0">
                  <c:v>196263</c:v>
                </c:pt>
                <c:pt idx="1">
                  <c:v>137070</c:v>
                </c:pt>
                <c:pt idx="2">
                  <c:v>0</c:v>
                </c:pt>
                <c:pt idx="3">
                  <c:v>-113500</c:v>
                </c:pt>
                <c:pt idx="4">
                  <c:v>-250593</c:v>
                </c:pt>
                <c:pt idx="5">
                  <c:v>-250593</c:v>
                </c:pt>
                <c:pt idx="6">
                  <c:v>-79819</c:v>
                </c:pt>
                <c:pt idx="7">
                  <c:v>196263</c:v>
                </c:pt>
                <c:pt idx="8">
                  <c:v>196263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A-40E6-9CB0-4235C660E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124280"/>
        <c:axId val="666124936"/>
      </c:scatterChart>
      <c:valAx>
        <c:axId val="666124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124936"/>
        <c:crosses val="autoZero"/>
        <c:crossBetween val="midCat"/>
      </c:valAx>
      <c:valAx>
        <c:axId val="666124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124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Plot!$A$19</c:f>
              <c:strCache>
                <c:ptCount val="1"/>
                <c:pt idx="0">
                  <c:v>ISOLATED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Plot!$B$20:$K$20</c:f>
              <c:numCache>
                <c:formatCode>General</c:formatCode>
                <c:ptCount val="10"/>
                <c:pt idx="0">
                  <c:v>0</c:v>
                </c:pt>
                <c:pt idx="1">
                  <c:v>3790</c:v>
                </c:pt>
                <c:pt idx="2">
                  <c:v>5993</c:v>
                </c:pt>
                <c:pt idx="3">
                  <c:v>7500</c:v>
                </c:pt>
                <c:pt idx="4">
                  <c:v>7500</c:v>
                </c:pt>
                <c:pt idx="5">
                  <c:v>0</c:v>
                </c:pt>
                <c:pt idx="6">
                  <c:v>-7500</c:v>
                </c:pt>
                <c:pt idx="7">
                  <c:v>-7500</c:v>
                </c:pt>
                <c:pt idx="8">
                  <c:v>-5328</c:v>
                </c:pt>
                <c:pt idx="9">
                  <c:v>0</c:v>
                </c:pt>
              </c:numCache>
            </c:numRef>
          </c:xVal>
          <c:yVal>
            <c:numRef>
              <c:f>Plot!$B$19:$K$19</c:f>
              <c:numCache>
                <c:formatCode>General</c:formatCode>
                <c:ptCount val="10"/>
                <c:pt idx="0">
                  <c:v>0</c:v>
                </c:pt>
                <c:pt idx="1">
                  <c:v>97052</c:v>
                </c:pt>
                <c:pt idx="2">
                  <c:v>0</c:v>
                </c:pt>
                <c:pt idx="3">
                  <c:v>-99800</c:v>
                </c:pt>
                <c:pt idx="4">
                  <c:v>-250593</c:v>
                </c:pt>
                <c:pt idx="5">
                  <c:v>-250593</c:v>
                </c:pt>
                <c:pt idx="6">
                  <c:v>-216996</c:v>
                </c:pt>
                <c:pt idx="7">
                  <c:v>33459</c:v>
                </c:pt>
                <c:pt idx="8">
                  <c:v>140331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42-4F9E-AFCA-0D5ACFF8D8EE}"/>
            </c:ext>
          </c:extLst>
        </c:ser>
        <c:ser>
          <c:idx val="1"/>
          <c:order val="1"/>
          <c:tx>
            <c:v>Ref. ISOLATED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Plot!$M$20:$V$20</c:f>
              <c:numCache>
                <c:formatCode>General</c:formatCode>
                <c:ptCount val="10"/>
                <c:pt idx="0">
                  <c:v>0</c:v>
                </c:pt>
                <c:pt idx="1">
                  <c:v>5183</c:v>
                </c:pt>
                <c:pt idx="2">
                  <c:v>8244</c:v>
                </c:pt>
                <c:pt idx="3">
                  <c:v>10000</c:v>
                </c:pt>
                <c:pt idx="4">
                  <c:v>10000</c:v>
                </c:pt>
                <c:pt idx="5">
                  <c:v>0</c:v>
                </c:pt>
                <c:pt idx="6">
                  <c:v>-10000</c:v>
                </c:pt>
                <c:pt idx="7">
                  <c:v>-10000</c:v>
                </c:pt>
                <c:pt idx="8">
                  <c:v>-7451</c:v>
                </c:pt>
                <c:pt idx="9">
                  <c:v>0</c:v>
                </c:pt>
              </c:numCache>
            </c:numRef>
          </c:xVal>
          <c:yVal>
            <c:numRef>
              <c:f>Plot!$M$19:$V$19</c:f>
              <c:numCache>
                <c:formatCode>General</c:formatCode>
                <c:ptCount val="10"/>
                <c:pt idx="0">
                  <c:v>196263</c:v>
                </c:pt>
                <c:pt idx="1">
                  <c:v>137070</c:v>
                </c:pt>
                <c:pt idx="2">
                  <c:v>0</c:v>
                </c:pt>
                <c:pt idx="3">
                  <c:v>-113500</c:v>
                </c:pt>
                <c:pt idx="4">
                  <c:v>-250593</c:v>
                </c:pt>
                <c:pt idx="5">
                  <c:v>-250593</c:v>
                </c:pt>
                <c:pt idx="6">
                  <c:v>-205333</c:v>
                </c:pt>
                <c:pt idx="7">
                  <c:v>90267</c:v>
                </c:pt>
                <c:pt idx="8">
                  <c:v>196263</c:v>
                </c:pt>
                <c:pt idx="9">
                  <c:v>196263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42-4F9E-AFCA-0D5ACFF8D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531424"/>
        <c:axId val="666531752"/>
      </c:scatterChart>
      <c:valAx>
        <c:axId val="66653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531752"/>
        <c:crosses val="autoZero"/>
        <c:crossBetween val="midCat"/>
      </c:valAx>
      <c:valAx>
        <c:axId val="66653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531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7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5514" cy="60633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2</xdr:row>
          <xdr:rowOff>0</xdr:rowOff>
        </xdr:from>
        <xdr:to>
          <xdr:col>13</xdr:col>
          <xdr:colOff>279400</xdr:colOff>
          <xdr:row>4</xdr:row>
          <xdr:rowOff>101600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951411</xdr:colOff>
      <xdr:row>25</xdr:row>
      <xdr:rowOff>116477</xdr:rowOff>
    </xdr:from>
    <xdr:to>
      <xdr:col>17</xdr:col>
      <xdr:colOff>500742</xdr:colOff>
      <xdr:row>52</xdr:row>
      <xdr:rowOff>32659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1005442</xdr:colOff>
      <xdr:row>53</xdr:row>
      <xdr:rowOff>160317</xdr:rowOff>
    </xdr:from>
    <xdr:to>
      <xdr:col>18</xdr:col>
      <xdr:colOff>249382</xdr:colOff>
      <xdr:row>79</xdr:row>
      <xdr:rowOff>13855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990600</xdr:colOff>
      <xdr:row>80</xdr:row>
      <xdr:rowOff>43543</xdr:rowOff>
    </xdr:from>
    <xdr:to>
      <xdr:col>18</xdr:col>
      <xdr:colOff>174171</xdr:colOff>
      <xdr:row>102</xdr:row>
      <xdr:rowOff>97971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1</xdr:row>
          <xdr:rowOff>228600</xdr:rowOff>
        </xdr:from>
        <xdr:to>
          <xdr:col>7</xdr:col>
          <xdr:colOff>266700</xdr:colOff>
          <xdr:row>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5</xdr:row>
      <xdr:rowOff>38100</xdr:rowOff>
    </xdr:from>
    <xdr:to>
      <xdr:col>8</xdr:col>
      <xdr:colOff>182880</xdr:colOff>
      <xdr:row>28</xdr:row>
      <xdr:rowOff>91440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386840" y="952500"/>
          <a:ext cx="3672840" cy="4259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</a:t>
          </a:r>
          <a:r>
            <a:rPr lang="en-US" sz="1100" baseline="0"/>
            <a:t> Choose the correct Tab for the type;</a:t>
          </a:r>
        </a:p>
        <a:p>
          <a:endParaRPr lang="en-US" sz="1100" baseline="0"/>
        </a:p>
        <a:p>
          <a:r>
            <a:rPr lang="en-US" sz="1100" baseline="0"/>
            <a:t>2. Paste the original Tab Data from existing assembly to "Reference" Column;</a:t>
          </a:r>
        </a:p>
        <a:p>
          <a:endParaRPr lang="en-US" sz="1100" baseline="0"/>
        </a:p>
        <a:p>
          <a:r>
            <a:rPr lang="en-US" sz="1100" baseline="0"/>
            <a:t>3. Fill the correct value to the "Overwrite Value" Column, if you don't want to change it just leave it blank;</a:t>
          </a:r>
        </a:p>
        <a:p>
          <a:endParaRPr lang="en-US" sz="1100" baseline="0"/>
        </a:p>
        <a:p>
          <a:r>
            <a:rPr lang="en-US" sz="1100" baseline="0"/>
            <a:t>4. Copy and paste the Output back to GeMS;</a:t>
          </a:r>
        </a:p>
        <a:p>
          <a:endParaRPr lang="en-US" sz="1100" baseline="0"/>
        </a:p>
        <a:p>
          <a:r>
            <a:rPr lang="en-US" sz="1100" baseline="0"/>
            <a:t>This tool should be able to eliminate all the spelling error, format error, and the sequece error of the attributes.</a:t>
          </a:r>
        </a:p>
        <a:p>
          <a:endParaRPr lang="en-US" sz="1100" baseline="0"/>
        </a:p>
        <a:p>
          <a:r>
            <a:rPr lang="en-US" sz="1100" baseline="0"/>
            <a:t>Any doubt or feedback contact with XNiu2@slb.com</a:t>
          </a:r>
        </a:p>
        <a:p>
          <a:endParaRPr lang="en-US" sz="1100" baseline="0"/>
        </a:p>
        <a:p>
          <a:r>
            <a:rPr lang="en-US" sz="1100" baseline="0"/>
            <a:t>Tab Data Index:</a:t>
          </a:r>
        </a:p>
        <a:p>
          <a:endParaRPr lang="en-US" sz="1100" baseline="0"/>
        </a:p>
        <a:p>
          <a:r>
            <a:rPr lang="en-US" sz="1100"/>
            <a:t>http://www.gems.slb.com/enovia/common/emxNavigator.jsp?Type=DOCUMENTS&amp;Name=100265538%20&amp;Rev=!</a:t>
          </a:r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A2:G89" totalsRowShown="0" dataDxfId="139" tableBorderDxfId="138">
  <autoFilter ref="A2:G89" xr:uid="{00000000-0009-0000-0100-000004000000}"/>
  <tableColumns count="7">
    <tableColumn id="1" xr3:uid="{00000000-0010-0000-0000-000001000000}" name="ATTRIBUTES" dataDxfId="137"/>
    <tableColumn id="2" xr3:uid="{00000000-0010-0000-0000-000002000000}" name="XHP" dataDxfId="136"/>
    <tableColumn id="3" xr3:uid="{00000000-0010-0000-0000-000003000000}" name="QUANTUM" dataDxfId="135"/>
    <tableColumn id="4" xr3:uid="{00000000-0010-0000-0000-000004000000}" name="XHP-CL" dataDxfId="134"/>
    <tableColumn id="5" xr3:uid="{00000000-0010-0000-0000-000005000000}" name="XHP-A-CL" dataDxfId="133"/>
    <tableColumn id="6" xr3:uid="{00000000-0010-0000-0000-000006000000}" name="MRP-ESP" dataDxfId="132"/>
    <tableColumn id="7" xr3:uid="{00000000-0010-0000-0000-000007000000}" name="MRP" dataDxfId="131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K51" totalsRowShown="0" headerRowDxfId="130" dataDxfId="129">
  <autoFilter ref="A1:K51" xr:uid="{00000000-0009-0000-0100-000002000000}"/>
  <tableColumns count="11">
    <tableColumn id="1" xr3:uid="{00000000-0010-0000-0100-000001000000}" name="Standard Attributes List" dataDxfId="128"/>
    <tableColumn id="8" xr3:uid="{00000000-0010-0000-0100-000008000000}" name="stripped attributes" dataDxfId="127">
      <calculatedColumnFormula>SUBSTITUTE(SUBSTITUTE(SUBSTITUTE(Table2[[#This Row],[Standard Attributes List]]," ",""),".",""),"-","")</calculatedColumnFormula>
    </tableColumn>
    <tableColumn id="2" xr3:uid="{00000000-0010-0000-0100-000002000000}" name="Reference"/>
    <tableColumn id="5" xr3:uid="{00000000-0010-0000-0100-000005000000}" name="Trim Ref  List" dataDxfId="126">
      <calculatedColumnFormula>SUBSTITUTE(SUBSTITUTE(SUBSTITUTE(LEFT(Table2[[#This Row],[Reference]],FIND("=",Table2[[#This Row],[Reference]])-2)," ",""),",",""),"-","")</calculatedColumnFormula>
    </tableColumn>
    <tableColumn id="6" xr3:uid="{00000000-0010-0000-0100-000006000000}" name="Assist Ref Values" dataDxfId="125">
      <calculatedColumnFormula>TRIM(RIGHT(Table2[[#This Row],[Reference]],LEN(Table2[[#This Row],[Reference]])-FIND("=",Table2[[#This Row],[Reference]])-1))</calculatedColumnFormula>
    </tableColumn>
    <tableColumn id="7" xr3:uid="{00000000-0010-0000-0100-000007000000}" name="Ref. Value" dataDxfId="124">
      <calculatedColumnFormula>VLOOKUP(Table2[[#This Row],[stripped attributes]],D:E,2,FALSE)</calculatedColumnFormula>
    </tableColumn>
    <tableColumn id="3" xr3:uid="{00000000-0010-0000-0100-000003000000}" name="Overwrite Value" dataDxfId="123"/>
    <tableColumn id="4" xr3:uid="{00000000-0010-0000-0100-000004000000}" name="Output" dataDxfId="122">
      <calculatedColumnFormula>CONCATENATE(Table2[[#This Row],[Standard Attributes List]]," = ",IF(Table2[[#This Row],[Overwrite Value]]="",Table2[[#This Row],[Ref. Value]],Table2[[#This Row],[Overwrite Value]]))</calculatedColumnFormula>
    </tableColumn>
    <tableColumn id="11" xr3:uid="{00000000-0010-0000-0100-00000B000000}" name="Check" dataDxfId="121"/>
    <tableColumn id="9" xr3:uid="{00000000-0010-0000-0100-000009000000}" name="Output Value" dataDxfId="120">
      <calculatedColumnFormula>RIGHT(Table2[[#This Row],[Output]],LEN(Table2[[#This Row],[Output]])-FIND("=",Table2[[#This Row],[Output]])-1)</calculatedColumnFormula>
    </tableColumn>
    <tableColumn id="10" xr3:uid="{00000000-0010-0000-0100-00000A000000}" name="Notes" dataDxfId="119">
      <calculatedColumnFormula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22" displayName="Table22" ref="A1:L60" totalsRowShown="0" headerRowDxfId="118" dataDxfId="117">
  <autoFilter ref="A1:L60" xr:uid="{00000000-0009-0000-0100-000001000000}"/>
  <tableColumns count="12">
    <tableColumn id="1" xr3:uid="{00000000-0010-0000-0200-000001000000}" name="Standard Attributes List" dataDxfId="116"/>
    <tableColumn id="8" xr3:uid="{00000000-0010-0000-0200-000008000000}" name="Column1" dataDxfId="115">
      <calculatedColumnFormula>SUBSTITUTE(SUBSTITUTE(SUBSTITUTE(Table22[[#This Row],[Standard Attributes List]]," ",""),".",""),"-","")</calculatedColumnFormula>
    </tableColumn>
    <tableColumn id="2" xr3:uid="{00000000-0010-0000-0200-000002000000}" name="Reference" dataDxfId="114"/>
    <tableColumn id="5" xr3:uid="{00000000-0010-0000-0200-000005000000}" name="Trim Ref  List" dataDxfId="113">
      <calculatedColumnFormula>SUBSTITUTE(SUBSTITUTE(SUBSTITUTE(LEFT(Table22[[#This Row],[Reference]],FIND("=",Table22[[#This Row],[Reference]])-2)," ",""),".",""),"-","")</calculatedColumnFormula>
    </tableColumn>
    <tableColumn id="6" xr3:uid="{00000000-0010-0000-0200-000006000000}" name="Assist Ref Values" dataDxfId="112">
      <calculatedColumnFormula>TRIM(RIGHT(Table22[[#This Row],[Reference]],LEN(Table22[[#This Row],[Reference]])-FIND("=",Table22[[#This Row],[Reference]])-1))</calculatedColumnFormula>
    </tableColumn>
    <tableColumn id="7" xr3:uid="{00000000-0010-0000-0200-000007000000}" name="Ref. Value" dataDxfId="111">
      <calculatedColumnFormula>VLOOKUP(Table22[[#This Row],[Column1]],D:E,2,FALSE)</calculatedColumnFormula>
    </tableColumn>
    <tableColumn id="3" xr3:uid="{00000000-0010-0000-0200-000003000000}" name="Overwrite Value" dataDxfId="110"/>
    <tableColumn id="4" xr3:uid="{00000000-0010-0000-0200-000004000000}" name="Output" dataDxfId="109">
      <calculatedColumnFormula>CONCATENATE(Table22[[#This Row],[Standard Attributes List]]," = ",IF(Table22[[#This Row],[Overwrite Value]]="",Table22[[#This Row],[Ref. Value]],Table22[[#This Row],[Overwrite Value]]))</calculatedColumnFormula>
    </tableColumn>
    <tableColumn id="11" xr3:uid="{00000000-0010-0000-0200-00000B000000}" name="Check" dataDxfId="108">
      <calculatedColumnFormula>IF(Table22[[#This Row],[Reference]]=Table22[[#This Row],[Output]],"OK","NG")</calculatedColumnFormula>
    </tableColumn>
    <tableColumn id="9" xr3:uid="{00000000-0010-0000-0200-000009000000}" name="Output Value" dataDxfId="107">
      <calculatedColumnFormula>RIGHT(Table22[[#This Row],[Output]],LEN(Table22[[#This Row],[Output]])-FIND("=",Table22[[#This Row],[Output]])-1)</calculatedColumnFormula>
    </tableColumn>
    <tableColumn id="10" xr3:uid="{00000000-0010-0000-0200-00000A000000}" name="Notes" dataDxfId="106">
      <calculatedColumnFormula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calculatedColumnFormula>
    </tableColumn>
    <tableColumn id="12" xr3:uid="{00000000-0010-0000-0200-00000C000000}" name="Value Check" dataDxfId="105">
      <calculatedColumnFormula>IF(Table22[[#This Row],[Ref. Value]]=Table22[[#This Row],[Overwrite Value]],"OK","NG")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24" displayName="Table24" ref="A1:K51" totalsRowShown="0" headerRowDxfId="104" dataDxfId="103">
  <autoFilter ref="A1:K51" xr:uid="{00000000-0009-0000-0100-000003000000}"/>
  <tableColumns count="11">
    <tableColumn id="1" xr3:uid="{00000000-0010-0000-0300-000001000000}" name="Standard Attributes List" dataDxfId="102">
      <calculatedColumnFormula>#REF!</calculatedColumnFormula>
    </tableColumn>
    <tableColumn id="8" xr3:uid="{00000000-0010-0000-0300-000008000000}" name="Column1" dataDxfId="101">
      <calculatedColumnFormula>SUBSTITUTE(SUBSTITUTE(SUBSTITUTE(Table24[[#This Row],[Standard Attributes List]]," ",""),".",""),"-","")</calculatedColumnFormula>
    </tableColumn>
    <tableColumn id="2" xr3:uid="{00000000-0010-0000-0300-000002000000}" name="Reference" dataDxfId="100"/>
    <tableColumn id="5" xr3:uid="{00000000-0010-0000-0300-000005000000}" name="Trim Ref  List" dataDxfId="99">
      <calculatedColumnFormula>SUBSTITUTE(SUBSTITUTE(SUBSTITUTE(LEFT(Table24[[#This Row],[Reference]],FIND("=",Table24[[#This Row],[Reference]])-2)," ",""),".",""),"-","")</calculatedColumnFormula>
    </tableColumn>
    <tableColumn id="6" xr3:uid="{00000000-0010-0000-0300-000006000000}" name="Assist Ref Values" dataDxfId="98">
      <calculatedColumnFormula>TRIM(RIGHT(Table24[[#This Row],[Reference]],LEN(Table24[[#This Row],[Reference]])-FIND("=",Table24[[#This Row],[Reference]])-1))</calculatedColumnFormula>
    </tableColumn>
    <tableColumn id="7" xr3:uid="{00000000-0010-0000-0300-000007000000}" name="Ref. Value" dataDxfId="97">
      <calculatedColumnFormula>VLOOKUP(Table24[[#This Row],[Column1]],D:E,2,FALSE)</calculatedColumnFormula>
    </tableColumn>
    <tableColumn id="3" xr3:uid="{00000000-0010-0000-0300-000003000000}" name="Overwrite Value" dataDxfId="96"/>
    <tableColumn id="4" xr3:uid="{00000000-0010-0000-0300-000004000000}" name="Output" dataDxfId="95">
      <calculatedColumnFormula>CONCATENATE(Table24[[#This Row],[Standard Attributes List]]," = ",IF(Table24[[#This Row],[Overwrite Value]]="",Table24[[#This Row],[Ref. Value]],Table24[[#This Row],[Overwrite Value]]))</calculatedColumnFormula>
    </tableColumn>
    <tableColumn id="11" xr3:uid="{00000000-0010-0000-0300-00000B000000}" name="Check" dataDxfId="94">
      <calculatedColumnFormula>IF(Table24[[#This Row],[Reference]]=Table24[[#This Row],[Output]],"OK","NG")</calculatedColumnFormula>
    </tableColumn>
    <tableColumn id="9" xr3:uid="{00000000-0010-0000-0300-000009000000}" name="Output Value" dataDxfId="93">
      <calculatedColumnFormula>RIGHT(Table24[[#This Row],[Output]],LEN(Table24[[#This Row],[Output]])-FIND("=",Table24[[#This Row],[Output]])-1)</calculatedColumnFormula>
    </tableColumn>
    <tableColumn id="10" xr3:uid="{00000000-0010-0000-0300-00000A000000}" name="Notes" dataDxfId="92">
      <calculatedColumnFormula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24810" displayName="Table24810" ref="A1:K46" totalsRowShown="0" headerRowDxfId="91" dataDxfId="90">
  <autoFilter ref="A1:K46" xr:uid="{00000000-0009-0000-0100-000009000000}"/>
  <tableColumns count="11">
    <tableColumn id="1" xr3:uid="{00000000-0010-0000-0400-000001000000}" name="Standard Attributes List" dataDxfId="89"/>
    <tableColumn id="8" xr3:uid="{00000000-0010-0000-0400-000008000000}" name="Column1" dataDxfId="88">
      <calculatedColumnFormula>SUBSTITUTE(SUBSTITUTE(SUBSTITUTE(Table24810[Standard Attributes List]," ",""),".",""),"-","")</calculatedColumnFormula>
    </tableColumn>
    <tableColumn id="2" xr3:uid="{00000000-0010-0000-0400-000002000000}" name="Reference" dataDxfId="87"/>
    <tableColumn id="5" xr3:uid="{00000000-0010-0000-0400-000005000000}" name="Trim Ref  List" dataDxfId="86">
      <calculatedColumnFormula>SUBSTITUTE(SUBSTITUTE(SUBSTITUTE(LEFT(Table24810[[#This Row],[Reference]],FIND("=",Table24810[[#This Row],[Reference]])-2)," ",""),".",""),"-","")</calculatedColumnFormula>
    </tableColumn>
    <tableColumn id="6" xr3:uid="{00000000-0010-0000-0400-000006000000}" name="Assist Ref Values" dataDxfId="85">
      <calculatedColumnFormula>TRIM(RIGHT(Table24810[[#This Row],[Reference]],LEN(Table24810[[#This Row],[Reference]])-FIND("=",Table24810[[#This Row],[Reference]])-1))</calculatedColumnFormula>
    </tableColumn>
    <tableColumn id="7" xr3:uid="{00000000-0010-0000-0400-000007000000}" name="Ref. Value" dataDxfId="84">
      <calculatedColumnFormula>VLOOKUP(Table24810[[#This Row],[Column1]],D:E,2,FALSE)</calculatedColumnFormula>
    </tableColumn>
    <tableColumn id="3" xr3:uid="{00000000-0010-0000-0400-000003000000}" name="Overwrite Value" dataDxfId="83"/>
    <tableColumn id="4" xr3:uid="{00000000-0010-0000-0400-000004000000}" name="Output" dataDxfId="82">
      <calculatedColumnFormula>CONCATENATE(Table24810[[#This Row],[Standard Attributes List]]," = ",IF(Table24810[[#This Row],[Overwrite Value]]="",Table24810[[#This Row],[Ref. Value]],Table24810[[#This Row],[Overwrite Value]]))</calculatedColumnFormula>
    </tableColumn>
    <tableColumn id="11" xr3:uid="{00000000-0010-0000-0400-00000B000000}" name="Check" dataDxfId="81">
      <calculatedColumnFormula>IF(Table24810[[#This Row],[Reference]]=Table24810[[#This Row],[Output]],"OK","NG")</calculatedColumnFormula>
    </tableColumn>
    <tableColumn id="9" xr3:uid="{00000000-0010-0000-0400-000009000000}" name="Output Value" dataDxfId="80">
      <calculatedColumnFormula>RIGHT(Table24810[[#This Row],[Output]],LEN(Table24810[[#This Row],[Output]])-FIND("=",Table24810[[#This Row],[Output]])-1)</calculatedColumnFormula>
    </tableColumn>
    <tableColumn id="10" xr3:uid="{00000000-0010-0000-0400-00000A000000}" name="Notes" dataDxfId="79">
      <calculatedColumnFormula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e248" displayName="Table248" ref="A1:K51" totalsRowShown="0" headerRowDxfId="78" dataDxfId="77">
  <autoFilter ref="A1:K51" xr:uid="{00000000-0009-0000-0100-000007000000}"/>
  <tableColumns count="11">
    <tableColumn id="1" xr3:uid="{00000000-0010-0000-0500-000001000000}" name="Standard Attributes List" dataDxfId="76"/>
    <tableColumn id="8" xr3:uid="{00000000-0010-0000-0500-000008000000}" name="Column1" dataDxfId="75">
      <calculatedColumnFormula>SUBSTITUTE(SUBSTITUTE(SUBSTITUTE(Table248[[#This Row],[Standard Attributes List]]," ",""),".",""),"-","")</calculatedColumnFormula>
    </tableColumn>
    <tableColumn id="2" xr3:uid="{00000000-0010-0000-0500-000002000000}" name="Reference" dataDxfId="74"/>
    <tableColumn id="5" xr3:uid="{00000000-0010-0000-0500-000005000000}" name="Trim Ref  List" dataDxfId="73">
      <calculatedColumnFormula>SUBSTITUTE(SUBSTITUTE(SUBSTITUTE(LEFT(Table248[[#This Row],[Reference]],FIND("=",Table248[[#This Row],[Reference]])-2)," ",""),".",""),"-","")</calculatedColumnFormula>
    </tableColumn>
    <tableColumn id="6" xr3:uid="{00000000-0010-0000-0500-000006000000}" name="Assist Ref Values" dataDxfId="72">
      <calculatedColumnFormula>TRIM(RIGHT(Table248[[#This Row],[Reference]],LEN(Table248[[#This Row],[Reference]])-FIND("=",Table248[[#This Row],[Reference]])-1))</calculatedColumnFormula>
    </tableColumn>
    <tableColumn id="7" xr3:uid="{00000000-0010-0000-0500-000007000000}" name="Ref. Value" dataDxfId="71">
      <calculatedColumnFormula>VLOOKUP(Table248[[#This Row],[Column1]],D:E,2,FALSE)</calculatedColumnFormula>
    </tableColumn>
    <tableColumn id="3" xr3:uid="{00000000-0010-0000-0500-000003000000}" name="Overwrite Value" dataDxfId="70"/>
    <tableColumn id="4" xr3:uid="{00000000-0010-0000-0500-000004000000}" name="Output" dataDxfId="69">
      <calculatedColumnFormula>CONCATENATE(Table248[[#This Row],[Standard Attributes List]]," = ",IF(Table248[[#This Row],[Overwrite Value]]="",Table248[[#This Row],[Ref. Value]],Table248[[#This Row],[Overwrite Value]]))</calculatedColumnFormula>
    </tableColumn>
    <tableColumn id="11" xr3:uid="{00000000-0010-0000-0500-00000B000000}" name="Check" dataDxfId="68">
      <calculatedColumnFormula>IF(Table248[[#This Row],[Reference]]=Table248[[#This Row],[Output]],"OK","NG")</calculatedColumnFormula>
    </tableColumn>
    <tableColumn id="9" xr3:uid="{00000000-0010-0000-0500-000009000000}" name="Output Value" dataDxfId="67">
      <calculatedColumnFormula>RIGHT(Table248[[#This Row],[Output]],LEN(Table248[[#This Row],[Output]])-FIND("=",Table248[[#This Row],[Output]])-1)</calculatedColumnFormula>
    </tableColumn>
    <tableColumn id="10" xr3:uid="{00000000-0010-0000-0500-00000A000000}" name="Notes" dataDxfId="66">
      <calculatedColumnFormula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246" displayName="Table246" ref="A1:K60" totalsRowShown="0" headerRowDxfId="65" dataDxfId="64">
  <autoFilter ref="A1:K60" xr:uid="{00000000-0009-0000-0100-000005000000}"/>
  <tableColumns count="11">
    <tableColumn id="1" xr3:uid="{00000000-0010-0000-0600-000001000000}" name="Standard Attributes List" dataDxfId="63"/>
    <tableColumn id="8" xr3:uid="{00000000-0010-0000-0600-000008000000}" name="Condensed Value" dataDxfId="62">
      <calculatedColumnFormula>SUBSTITUTE(SUBSTITUTE(SUBSTITUTE(Table246[[#This Row],[Standard Attributes List]]," ",""),".",""),"-","")</calculatedColumnFormula>
    </tableColumn>
    <tableColumn id="2" xr3:uid="{00000000-0010-0000-0600-000002000000}" name="Reference" dataDxfId="61"/>
    <tableColumn id="5" xr3:uid="{00000000-0010-0000-0600-000005000000}" name="Trim Ref  List" dataDxfId="60">
      <calculatedColumnFormula>SUBSTITUTE(SUBSTITUTE(SUBSTITUTE(LEFT(Table246[[#This Row],[Reference]],FIND("=",Table246[[#This Row],[Reference]])-2)," ",""),".",""),"-","")</calculatedColumnFormula>
    </tableColumn>
    <tableColumn id="6" xr3:uid="{00000000-0010-0000-0600-000006000000}" name="Assist Ref Values" dataDxfId="59">
      <calculatedColumnFormula>TRIM(RIGHT(Table246[[#This Row],[Reference]],LEN(Table246[[#This Row],[Reference]])-FIND("=",Table246[[#This Row],[Reference]])-1))</calculatedColumnFormula>
    </tableColumn>
    <tableColumn id="7" xr3:uid="{00000000-0010-0000-0600-000007000000}" name="Ref. Value" dataDxfId="58">
      <calculatedColumnFormula>VLOOKUP(Table246[[#This Row],[Condensed Value]],D:E,2,FALSE)</calculatedColumnFormula>
    </tableColumn>
    <tableColumn id="3" xr3:uid="{00000000-0010-0000-0600-000003000000}" name="Overwrite Value" dataDxfId="57"/>
    <tableColumn id="4" xr3:uid="{00000000-0010-0000-0600-000004000000}" name="Output" dataDxfId="56">
      <calculatedColumnFormula>CONCATENATE(Table246[[#This Row],[Standard Attributes List]]," = ",IF(Table246[[#This Row],[Overwrite Value]]="",Table246[[#This Row],[Ref. Value]],Table246[[#This Row],[Overwrite Value]]))</calculatedColumnFormula>
    </tableColumn>
    <tableColumn id="11" xr3:uid="{00000000-0010-0000-0600-00000B000000}" name="Check" dataDxfId="55">
      <calculatedColumnFormula>IF(Table246[[#This Row],[Reference]]=Table246[[#This Row],[Output]],"OK","NG")</calculatedColumnFormula>
    </tableColumn>
    <tableColumn id="9" xr3:uid="{00000000-0010-0000-0600-000009000000}" name="Output Value" dataDxfId="54">
      <calculatedColumnFormula>RIGHT(Table246[[#This Row],[Output]],LEN(Table246[[#This Row],[Output]])-FIND("=",Table246[[#This Row],[Output]])-1)</calculatedColumnFormula>
    </tableColumn>
    <tableColumn id="10" xr3:uid="{00000000-0010-0000-0600-00000A000000}" name="Notes" dataDxfId="53">
      <calculatedColumnFormula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2467" displayName="Table2467" ref="A1:K52" totalsRowShown="0" headerRowDxfId="52" dataDxfId="51">
  <autoFilter ref="A1:K52" xr:uid="{00000000-0009-0000-0100-000006000000}"/>
  <tableColumns count="11">
    <tableColumn id="1" xr3:uid="{00000000-0010-0000-0700-000001000000}" name="Standard Attributes List" dataDxfId="50"/>
    <tableColumn id="8" xr3:uid="{00000000-0010-0000-0700-000008000000}" name="Condensed Value" dataDxfId="49">
      <calculatedColumnFormula>SUBSTITUTE(SUBSTITUTE(SUBSTITUTE(Table2467[[#This Row],[Standard Attributes List]]," ",""),".",""),"-","")</calculatedColumnFormula>
    </tableColumn>
    <tableColumn id="2" xr3:uid="{00000000-0010-0000-0700-000002000000}" name="Reference" dataDxfId="48"/>
    <tableColumn id="5" xr3:uid="{00000000-0010-0000-0700-000005000000}" name="Trim Ref  List" dataDxfId="47">
      <calculatedColumnFormula>SUBSTITUTE(SUBSTITUTE(SUBSTITUTE(LEFT(Table2467[[#This Row],[Reference]],FIND("=",Table2467[[#This Row],[Reference]])-2)," ",""),".",""),"-","")</calculatedColumnFormula>
    </tableColumn>
    <tableColumn id="6" xr3:uid="{00000000-0010-0000-0700-000006000000}" name="Assist Ref Values" dataDxfId="46">
      <calculatedColumnFormula>TRIM(RIGHT(Table2467[[#This Row],[Reference]],LEN(Table2467[[#This Row],[Reference]])-FIND("=",Table2467[[#This Row],[Reference]])-1))</calculatedColumnFormula>
    </tableColumn>
    <tableColumn id="7" xr3:uid="{00000000-0010-0000-0700-000007000000}" name="Ref. Value" dataDxfId="45">
      <calculatedColumnFormula>VLOOKUP(Table2467[[#This Row],[Condensed Value]],D:E,2,FALSE)</calculatedColumnFormula>
    </tableColumn>
    <tableColumn id="3" xr3:uid="{00000000-0010-0000-0700-000003000000}" name="Overwrite Value" dataDxfId="44"/>
    <tableColumn id="4" xr3:uid="{00000000-0010-0000-0700-000004000000}" name="Output" dataDxfId="43">
      <calculatedColumnFormula>CONCATENATE(Table2467[[#This Row],[Standard Attributes List]]," = ",IF(Table2467[[#This Row],[Overwrite Value]]="",Table2467[[#This Row],[Ref. Value]],Table2467[[#This Row],[Overwrite Value]]))</calculatedColumnFormula>
    </tableColumn>
    <tableColumn id="11" xr3:uid="{00000000-0010-0000-0700-00000B000000}" name="Check" dataDxfId="42">
      <calculatedColumnFormula>IF(Table2467[[#This Row],[Reference]]=Table2467[[#This Row],[Output]],"OK","NG")</calculatedColumnFormula>
    </tableColumn>
    <tableColumn id="9" xr3:uid="{00000000-0010-0000-0700-000009000000}" name="Output Value" dataDxfId="41">
      <calculatedColumnFormula>RIGHT(Table2467[[#This Row],[Output]],LEN(Table2467[[#This Row],[Output]])-FIND("=",Table2467[[#This Row],[Output]])-1)</calculatedColumnFormula>
    </tableColumn>
    <tableColumn id="10" xr3:uid="{00000000-0010-0000-0700-00000A000000}" name="Notes" dataDxfId="40">
      <calculatedColumnFormula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2489" displayName="Table2489" ref="A1:K51" totalsRowShown="0" headerRowDxfId="39" dataDxfId="38">
  <autoFilter ref="A1:K51" xr:uid="{00000000-0009-0000-0100-000008000000}"/>
  <tableColumns count="11">
    <tableColumn id="1" xr3:uid="{00000000-0010-0000-0800-000001000000}" name="Standard Attributes List" dataDxfId="37"/>
    <tableColumn id="8" xr3:uid="{00000000-0010-0000-0800-000008000000}" name="Column1" dataDxfId="36">
      <calculatedColumnFormula>SUBSTITUTE(SUBSTITUTE(SUBSTITUTE(Table2489[[#This Row],[Standard Attributes List]]," ",""),".",""),"-","")</calculatedColumnFormula>
    </tableColumn>
    <tableColumn id="2" xr3:uid="{00000000-0010-0000-0800-000002000000}" name="Reference" dataDxfId="35"/>
    <tableColumn id="5" xr3:uid="{00000000-0010-0000-0800-000005000000}" name="Trim Ref  List" dataDxfId="34">
      <calculatedColumnFormula>SUBSTITUTE(SUBSTITUTE(SUBSTITUTE(LEFT(Table2489[[#This Row],[Reference]],FIND("=",Table2489[[#This Row],[Reference]])-2)," ",""),".",""),"-","")</calculatedColumnFormula>
    </tableColumn>
    <tableColumn id="6" xr3:uid="{00000000-0010-0000-0800-000006000000}" name="Assist Ref Values" dataDxfId="33">
      <calculatedColumnFormula>TRIM(RIGHT(Table2489[[#This Row],[Reference]],LEN(Table2489[[#This Row],[Reference]])-FIND("=",Table2489[[#This Row],[Reference]])-1))</calculatedColumnFormula>
    </tableColumn>
    <tableColumn id="7" xr3:uid="{00000000-0010-0000-0800-000007000000}" name="Ref. Value" dataDxfId="32">
      <calculatedColumnFormula>VLOOKUP(Table2489[[#This Row],[Column1]],D:E,2,FALSE)</calculatedColumnFormula>
    </tableColumn>
    <tableColumn id="3" xr3:uid="{00000000-0010-0000-0800-000003000000}" name="Overwrite Value" dataDxfId="31"/>
    <tableColumn id="4" xr3:uid="{00000000-0010-0000-0800-000004000000}" name="Output" dataDxfId="30">
      <calculatedColumnFormula>CONCATENATE(Table2489[[#This Row],[Standard Attributes List]]," = ",IF(Table2489[[#This Row],[Overwrite Value]]="",Table2489[[#This Row],[Ref. Value]],Table2489[[#This Row],[Overwrite Value]]))</calculatedColumnFormula>
    </tableColumn>
    <tableColumn id="11" xr3:uid="{00000000-0010-0000-0800-00000B000000}" name="Check" dataDxfId="29">
      <calculatedColumnFormula>IF(Table2489[[#This Row],[Reference]]=Table2489[[#This Row],[Output]],"OK","NG")</calculatedColumnFormula>
    </tableColumn>
    <tableColumn id="9" xr3:uid="{00000000-0010-0000-0800-000009000000}" name="Output Value" dataDxfId="28">
      <calculatedColumnFormula>RIGHT(Table2489[[#This Row],[Output]],LEN(Table2489[[#This Row],[Output]])-FIND("=",Table2489[[#This Row],[Output]])-1)</calculatedColumnFormula>
    </tableColumn>
    <tableColumn id="10" xr3:uid="{00000000-0010-0000-0800-00000A000000}" name="Notes" dataDxfId="27">
      <calculatedColumnFormula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G89"/>
  <sheetViews>
    <sheetView workbookViewId="0">
      <selection activeCell="B11" sqref="B11"/>
    </sheetView>
  </sheetViews>
  <sheetFormatPr baseColWidth="10" defaultColWidth="8.83203125" defaultRowHeight="14"/>
  <cols>
    <col min="1" max="1" width="83.6640625" customWidth="1"/>
    <col min="2" max="2" width="6.83203125" bestFit="1" customWidth="1"/>
    <col min="3" max="3" width="12.5" bestFit="1" customWidth="1"/>
    <col min="4" max="4" width="9.33203125" bestFit="1" customWidth="1"/>
    <col min="5" max="5" width="10.5" customWidth="1"/>
    <col min="6" max="6" width="11" bestFit="1" customWidth="1"/>
  </cols>
  <sheetData>
    <row r="2" spans="1:7" ht="15" thickBot="1">
      <c r="A2" t="s">
        <v>262</v>
      </c>
      <c r="B2" t="s">
        <v>263</v>
      </c>
      <c r="C2" t="s">
        <v>264</v>
      </c>
      <c r="D2" t="s">
        <v>265</v>
      </c>
      <c r="E2" t="s">
        <v>266</v>
      </c>
      <c r="F2" t="s">
        <v>286</v>
      </c>
      <c r="G2" t="s">
        <v>335</v>
      </c>
    </row>
    <row r="3" spans="1:7" ht="15" thickBot="1">
      <c r="A3" s="33" t="s">
        <v>0</v>
      </c>
      <c r="B3" s="32" t="b">
        <v>0</v>
      </c>
      <c r="C3" s="33" t="b">
        <v>0</v>
      </c>
      <c r="D3" s="33" t="b">
        <v>0</v>
      </c>
      <c r="E3" s="33" t="b">
        <v>0</v>
      </c>
      <c r="F3" s="45" t="b">
        <v>1</v>
      </c>
      <c r="G3" s="45" t="b">
        <v>1</v>
      </c>
    </row>
    <row r="4" spans="1:7" ht="15" thickBot="1">
      <c r="A4" s="34" t="s">
        <v>1</v>
      </c>
      <c r="B4" s="32" t="b">
        <v>0</v>
      </c>
      <c r="C4" s="33" t="b">
        <v>0</v>
      </c>
      <c r="D4" s="33" t="b">
        <v>0</v>
      </c>
      <c r="E4" s="33" t="b">
        <v>0</v>
      </c>
      <c r="F4" s="45" t="b">
        <v>1</v>
      </c>
      <c r="G4" s="45" t="b">
        <v>1</v>
      </c>
    </row>
    <row r="5" spans="1:7" ht="15" thickBot="1">
      <c r="A5" s="34" t="s">
        <v>181</v>
      </c>
      <c r="B5" s="32" t="b">
        <v>1</v>
      </c>
      <c r="C5" s="33" t="b">
        <v>0</v>
      </c>
      <c r="D5" s="33" t="b">
        <v>1</v>
      </c>
      <c r="E5" s="33" t="b">
        <v>1</v>
      </c>
      <c r="F5" s="45" t="s">
        <v>334</v>
      </c>
      <c r="G5" s="45" t="s">
        <v>334</v>
      </c>
    </row>
    <row r="6" spans="1:7" ht="15" thickBot="1">
      <c r="A6" s="34" t="s">
        <v>260</v>
      </c>
      <c r="B6" s="32" t="b">
        <v>1</v>
      </c>
      <c r="C6" s="33" t="b">
        <v>1</v>
      </c>
      <c r="D6" s="33" t="b">
        <v>1</v>
      </c>
      <c r="E6" s="33" t="b">
        <v>1</v>
      </c>
      <c r="F6" s="45" t="s">
        <v>334</v>
      </c>
      <c r="G6" s="45" t="s">
        <v>334</v>
      </c>
    </row>
    <row r="7" spans="1:7" ht="15" thickBot="1">
      <c r="A7" s="34" t="s">
        <v>261</v>
      </c>
      <c r="B7" s="32" t="b">
        <v>1</v>
      </c>
      <c r="C7" s="33" t="b">
        <v>1</v>
      </c>
      <c r="D7" s="33" t="b">
        <v>1</v>
      </c>
      <c r="E7" s="33" t="b">
        <v>1</v>
      </c>
      <c r="F7" s="45" t="s">
        <v>334</v>
      </c>
      <c r="G7" s="45" t="s">
        <v>334</v>
      </c>
    </row>
    <row r="8" spans="1:7" ht="15" thickBot="1">
      <c r="A8" s="34" t="s">
        <v>15</v>
      </c>
      <c r="B8" s="32" t="b">
        <v>0</v>
      </c>
      <c r="C8" s="33" t="b">
        <v>0</v>
      </c>
      <c r="D8" s="33" t="b">
        <v>0</v>
      </c>
      <c r="E8" s="33" t="b">
        <v>0</v>
      </c>
      <c r="F8" s="45" t="b">
        <v>1</v>
      </c>
      <c r="G8" s="45" t="b">
        <v>1</v>
      </c>
    </row>
    <row r="9" spans="1:7" ht="15" thickBot="1">
      <c r="A9" s="34" t="s">
        <v>16</v>
      </c>
      <c r="B9" s="32" t="b">
        <v>0</v>
      </c>
      <c r="C9" s="33" t="b">
        <v>0</v>
      </c>
      <c r="D9" s="33" t="b">
        <v>0</v>
      </c>
      <c r="E9" s="33" t="b">
        <v>0</v>
      </c>
      <c r="F9" s="45" t="b">
        <v>1</v>
      </c>
      <c r="G9" s="45" t="b">
        <v>1</v>
      </c>
    </row>
    <row r="10" spans="1:7" ht="15" thickBot="1">
      <c r="A10" s="34" t="s">
        <v>17</v>
      </c>
      <c r="B10" s="32" t="b">
        <v>0</v>
      </c>
      <c r="C10" s="33" t="b">
        <v>0</v>
      </c>
      <c r="D10" s="33" t="b">
        <v>0</v>
      </c>
      <c r="E10" s="33" t="b">
        <v>0</v>
      </c>
      <c r="F10" s="45" t="b">
        <v>1</v>
      </c>
      <c r="G10" s="45" t="b">
        <v>1</v>
      </c>
    </row>
    <row r="11" spans="1:7" ht="15" thickBot="1">
      <c r="A11" s="35" t="s">
        <v>228</v>
      </c>
      <c r="B11" s="32" t="b">
        <v>1</v>
      </c>
      <c r="C11" s="33" t="b">
        <v>1</v>
      </c>
      <c r="D11" s="33" t="b">
        <v>1</v>
      </c>
      <c r="E11" s="33" t="b">
        <v>1</v>
      </c>
      <c r="F11" s="45" t="s">
        <v>334</v>
      </c>
      <c r="G11" s="45" t="s">
        <v>334</v>
      </c>
    </row>
    <row r="12" spans="1:7" ht="15" thickBot="1">
      <c r="A12" s="34" t="s">
        <v>148</v>
      </c>
      <c r="B12" s="32" t="b">
        <v>1</v>
      </c>
      <c r="C12" s="33" t="b">
        <v>1</v>
      </c>
      <c r="D12" s="33" t="b">
        <v>0</v>
      </c>
      <c r="E12" s="33" t="b">
        <v>0</v>
      </c>
      <c r="F12" s="45" t="s">
        <v>334</v>
      </c>
      <c r="G12" s="45" t="s">
        <v>334</v>
      </c>
    </row>
    <row r="13" spans="1:7" ht="15" thickBot="1">
      <c r="A13" s="34" t="s">
        <v>36</v>
      </c>
      <c r="B13" s="32" t="b">
        <v>0</v>
      </c>
      <c r="C13" s="33" t="b">
        <v>0</v>
      </c>
      <c r="D13" s="33" t="b">
        <v>0</v>
      </c>
      <c r="E13" s="33" t="b">
        <v>0</v>
      </c>
      <c r="F13" s="45" t="b">
        <v>1</v>
      </c>
      <c r="G13" s="45" t="b">
        <v>1</v>
      </c>
    </row>
    <row r="14" spans="1:7" ht="15" thickBot="1">
      <c r="A14" s="34" t="s">
        <v>229</v>
      </c>
      <c r="B14" s="32" t="b">
        <v>1</v>
      </c>
      <c r="C14" s="33" t="b">
        <v>1</v>
      </c>
      <c r="D14" s="33" t="b">
        <v>1</v>
      </c>
      <c r="E14" s="33" t="b">
        <v>1</v>
      </c>
      <c r="F14" s="45" t="s">
        <v>334</v>
      </c>
      <c r="G14" s="45" t="s">
        <v>334</v>
      </c>
    </row>
    <row r="15" spans="1:7" ht="15" thickBot="1">
      <c r="A15" s="34" t="s">
        <v>18</v>
      </c>
      <c r="B15" s="32" t="b">
        <v>0</v>
      </c>
      <c r="C15" s="33" t="b">
        <v>0</v>
      </c>
      <c r="D15" s="33" t="b">
        <v>0</v>
      </c>
      <c r="E15" s="33" t="b">
        <v>0</v>
      </c>
      <c r="F15" s="45" t="b">
        <v>1</v>
      </c>
      <c r="G15" s="45" t="b">
        <v>1</v>
      </c>
    </row>
    <row r="16" spans="1:7" ht="15" thickBot="1">
      <c r="A16" s="34" t="s">
        <v>19</v>
      </c>
      <c r="B16" s="32" t="b">
        <v>0</v>
      </c>
      <c r="C16" s="33" t="b">
        <v>0</v>
      </c>
      <c r="D16" s="33" t="b">
        <v>0</v>
      </c>
      <c r="E16" s="33" t="b">
        <v>0</v>
      </c>
      <c r="F16" s="45" t="b">
        <v>1</v>
      </c>
      <c r="G16" s="45" t="b">
        <v>1</v>
      </c>
    </row>
    <row r="17" spans="1:7" ht="15" thickBot="1">
      <c r="A17" s="34" t="s">
        <v>20</v>
      </c>
      <c r="B17" s="32" t="b">
        <v>0</v>
      </c>
      <c r="C17" s="33" t="b">
        <v>0</v>
      </c>
      <c r="D17" s="33" t="b">
        <v>0</v>
      </c>
      <c r="E17" s="33" t="b">
        <v>0</v>
      </c>
      <c r="F17" s="45" t="b">
        <v>1</v>
      </c>
      <c r="G17" s="45" t="b">
        <v>1</v>
      </c>
    </row>
    <row r="18" spans="1:7" ht="15" thickBot="1">
      <c r="A18" s="34" t="s">
        <v>37</v>
      </c>
      <c r="B18" s="32" t="b">
        <v>0</v>
      </c>
      <c r="C18" s="33" t="b">
        <v>0</v>
      </c>
      <c r="D18" s="33" t="b">
        <v>0</v>
      </c>
      <c r="E18" s="33" t="b">
        <v>0</v>
      </c>
      <c r="F18" s="45" t="b">
        <v>1</v>
      </c>
      <c r="G18" s="45" t="b">
        <v>1</v>
      </c>
    </row>
    <row r="19" spans="1:7" ht="15" thickBot="1">
      <c r="A19" s="34" t="s">
        <v>230</v>
      </c>
      <c r="B19" s="32" t="b">
        <v>1</v>
      </c>
      <c r="C19" s="33" t="b">
        <v>1</v>
      </c>
      <c r="D19" s="33" t="b">
        <v>1</v>
      </c>
      <c r="E19" s="33" t="b">
        <v>1</v>
      </c>
      <c r="F19" s="45" t="s">
        <v>334</v>
      </c>
      <c r="G19" s="45" t="s">
        <v>334</v>
      </c>
    </row>
    <row r="20" spans="1:7" ht="15" thickBot="1">
      <c r="A20" s="34" t="s">
        <v>2</v>
      </c>
      <c r="B20" s="32" t="b">
        <v>0</v>
      </c>
      <c r="C20" s="33" t="b">
        <v>0</v>
      </c>
      <c r="D20" s="33" t="b">
        <v>0</v>
      </c>
      <c r="E20" s="33" t="b">
        <v>0</v>
      </c>
      <c r="F20" s="45" t="b">
        <v>1</v>
      </c>
      <c r="G20" s="45" t="b">
        <v>1</v>
      </c>
    </row>
    <row r="21" spans="1:7" ht="15" thickBot="1">
      <c r="A21" s="34" t="s">
        <v>231</v>
      </c>
      <c r="B21" s="32" t="b">
        <v>1</v>
      </c>
      <c r="C21" s="33" t="b">
        <v>1</v>
      </c>
      <c r="D21" s="33" t="b">
        <v>1</v>
      </c>
      <c r="E21" s="33" t="b">
        <v>1</v>
      </c>
      <c r="F21" s="45" t="b">
        <v>1</v>
      </c>
      <c r="G21" s="45" t="s">
        <v>334</v>
      </c>
    </row>
    <row r="22" spans="1:7" ht="15" thickBot="1">
      <c r="A22" s="34" t="s">
        <v>232</v>
      </c>
      <c r="B22" s="32" t="b">
        <v>1</v>
      </c>
      <c r="C22" s="33" t="b">
        <v>1</v>
      </c>
      <c r="D22" s="33" t="b">
        <v>1</v>
      </c>
      <c r="E22" s="33" t="b">
        <v>1</v>
      </c>
      <c r="F22" s="45" t="s">
        <v>334</v>
      </c>
      <c r="G22" s="45" t="s">
        <v>334</v>
      </c>
    </row>
    <row r="23" spans="1:7" ht="15" thickBot="1">
      <c r="A23" s="34" t="s">
        <v>233</v>
      </c>
      <c r="B23" s="32" t="b">
        <v>1</v>
      </c>
      <c r="C23" s="33" t="b">
        <v>1</v>
      </c>
      <c r="D23" s="33" t="b">
        <v>1</v>
      </c>
      <c r="E23" s="33" t="b">
        <v>1</v>
      </c>
      <c r="F23" s="45" t="s">
        <v>334</v>
      </c>
      <c r="G23" s="45" t="s">
        <v>334</v>
      </c>
    </row>
    <row r="24" spans="1:7" ht="15" thickBot="1">
      <c r="A24" s="34" t="s">
        <v>50</v>
      </c>
      <c r="B24" s="32" t="b">
        <v>0</v>
      </c>
      <c r="C24" s="33" t="b">
        <v>0</v>
      </c>
      <c r="D24" s="33" t="b">
        <v>0</v>
      </c>
      <c r="E24" s="33" t="b">
        <v>0</v>
      </c>
      <c r="F24" s="45" t="s">
        <v>334</v>
      </c>
      <c r="G24" s="45" t="b">
        <v>1</v>
      </c>
    </row>
    <row r="25" spans="1:7" ht="15" thickBot="1">
      <c r="A25" s="34" t="s">
        <v>234</v>
      </c>
      <c r="B25" s="32" t="b">
        <v>1</v>
      </c>
      <c r="C25" s="33" t="b">
        <v>1</v>
      </c>
      <c r="D25" s="33" t="b">
        <v>1</v>
      </c>
      <c r="E25" s="33" t="b">
        <v>1</v>
      </c>
      <c r="F25" s="45" t="b">
        <v>1</v>
      </c>
      <c r="G25" s="45" t="s">
        <v>334</v>
      </c>
    </row>
    <row r="26" spans="1:7" ht="15" thickBot="1">
      <c r="A26" s="34" t="s">
        <v>235</v>
      </c>
      <c r="B26" s="32" t="b">
        <v>1</v>
      </c>
      <c r="C26" s="33" t="b">
        <v>1</v>
      </c>
      <c r="D26" s="33" t="b">
        <v>1</v>
      </c>
      <c r="E26" s="33" t="b">
        <v>1</v>
      </c>
      <c r="F26" s="45" t="b">
        <v>1</v>
      </c>
      <c r="G26" s="45" t="s">
        <v>334</v>
      </c>
    </row>
    <row r="27" spans="1:7" ht="15" thickBot="1">
      <c r="A27" s="34" t="s">
        <v>51</v>
      </c>
      <c r="B27" s="32" t="b">
        <v>0</v>
      </c>
      <c r="C27" s="33" t="b">
        <v>0</v>
      </c>
      <c r="D27" s="33" t="b">
        <v>0</v>
      </c>
      <c r="E27" s="33" t="b">
        <v>0</v>
      </c>
      <c r="F27" s="45" t="s">
        <v>334</v>
      </c>
      <c r="G27" s="45" t="b">
        <v>1</v>
      </c>
    </row>
    <row r="28" spans="1:7" ht="15" thickBot="1">
      <c r="A28" s="35" t="s">
        <v>236</v>
      </c>
      <c r="B28" s="32" t="b">
        <v>1</v>
      </c>
      <c r="C28" s="33" t="b">
        <v>1</v>
      </c>
      <c r="D28" s="33" t="b">
        <v>1</v>
      </c>
      <c r="E28" s="33" t="b">
        <v>1</v>
      </c>
      <c r="F28" s="45" t="b">
        <v>1</v>
      </c>
      <c r="G28" s="45" t="s">
        <v>334</v>
      </c>
    </row>
    <row r="29" spans="1:7" ht="15" thickBot="1">
      <c r="A29" s="34" t="s">
        <v>237</v>
      </c>
      <c r="B29" s="32" t="b">
        <v>1</v>
      </c>
      <c r="C29" s="33" t="b">
        <v>1</v>
      </c>
      <c r="D29" s="33" t="b">
        <v>1</v>
      </c>
      <c r="E29" s="33" t="b">
        <v>1</v>
      </c>
      <c r="F29" s="45" t="b">
        <v>1</v>
      </c>
      <c r="G29" s="45" t="s">
        <v>334</v>
      </c>
    </row>
    <row r="30" spans="1:7" ht="15" thickBot="1">
      <c r="A30" s="34" t="s">
        <v>238</v>
      </c>
      <c r="B30" s="32" t="b">
        <v>1</v>
      </c>
      <c r="C30" s="33" t="b">
        <v>1</v>
      </c>
      <c r="D30" s="33" t="b">
        <v>1</v>
      </c>
      <c r="E30" s="33" t="b">
        <v>1</v>
      </c>
      <c r="F30" s="45" t="s">
        <v>334</v>
      </c>
      <c r="G30" s="45" t="s">
        <v>334</v>
      </c>
    </row>
    <row r="31" spans="1:7" ht="15" thickBot="1">
      <c r="A31" s="35" t="s">
        <v>239</v>
      </c>
      <c r="B31" s="32" t="b">
        <v>1</v>
      </c>
      <c r="C31" s="33" t="b">
        <v>1</v>
      </c>
      <c r="D31" s="33" t="b">
        <v>1</v>
      </c>
      <c r="E31" s="33" t="b">
        <v>1</v>
      </c>
      <c r="F31" s="45" t="b">
        <v>1</v>
      </c>
      <c r="G31" s="45" t="s">
        <v>334</v>
      </c>
    </row>
    <row r="32" spans="1:7" ht="15" thickBot="1">
      <c r="A32" s="34" t="s">
        <v>240</v>
      </c>
      <c r="B32" s="32" t="b">
        <v>1</v>
      </c>
      <c r="C32" s="33" t="b">
        <v>1</v>
      </c>
      <c r="D32" s="33" t="b">
        <v>1</v>
      </c>
      <c r="E32" s="33" t="b">
        <v>1</v>
      </c>
      <c r="F32" s="45" t="b">
        <v>1</v>
      </c>
      <c r="G32" s="45" t="s">
        <v>334</v>
      </c>
    </row>
    <row r="33" spans="1:7" ht="15" thickBot="1">
      <c r="A33" s="34" t="s">
        <v>52</v>
      </c>
      <c r="B33" s="32" t="b">
        <v>0</v>
      </c>
      <c r="C33" s="33" t="b">
        <v>0</v>
      </c>
      <c r="D33" s="33" t="b">
        <v>0</v>
      </c>
      <c r="E33" s="33" t="b">
        <v>0</v>
      </c>
      <c r="F33" s="45" t="s">
        <v>334</v>
      </c>
      <c r="G33" s="45" t="b">
        <v>1</v>
      </c>
    </row>
    <row r="34" spans="1:7" ht="15" thickBot="1">
      <c r="A34" s="34" t="s">
        <v>241</v>
      </c>
      <c r="B34" s="32" t="b">
        <v>1</v>
      </c>
      <c r="C34" s="33" t="b">
        <v>1</v>
      </c>
      <c r="D34" s="33" t="b">
        <v>1</v>
      </c>
      <c r="E34" s="33" t="b">
        <v>1</v>
      </c>
      <c r="F34" s="45" t="s">
        <v>334</v>
      </c>
      <c r="G34" s="45" t="s">
        <v>334</v>
      </c>
    </row>
    <row r="35" spans="1:7" ht="15" thickBot="1">
      <c r="A35" s="34" t="s">
        <v>3</v>
      </c>
      <c r="B35" s="32" t="b">
        <v>0</v>
      </c>
      <c r="C35" s="33" t="b">
        <v>0</v>
      </c>
      <c r="D35" s="33" t="b">
        <v>0</v>
      </c>
      <c r="E35" s="33" t="b">
        <v>0</v>
      </c>
      <c r="F35" s="45" t="b">
        <v>1</v>
      </c>
      <c r="G35" s="45" t="b">
        <v>1</v>
      </c>
    </row>
    <row r="36" spans="1:7" ht="15" thickBot="1">
      <c r="A36" s="34" t="s">
        <v>59</v>
      </c>
      <c r="B36" s="32" t="b">
        <v>0</v>
      </c>
      <c r="C36" s="33" t="b">
        <v>0</v>
      </c>
      <c r="D36" s="33" t="b">
        <v>0</v>
      </c>
      <c r="E36" s="33" t="b">
        <v>0</v>
      </c>
      <c r="F36" s="45" t="b">
        <v>1</v>
      </c>
      <c r="G36" s="45" t="b">
        <v>1</v>
      </c>
    </row>
    <row r="37" spans="1:7" ht="15" thickBot="1">
      <c r="A37" s="34" t="s">
        <v>242</v>
      </c>
      <c r="B37" s="32" t="b">
        <v>1</v>
      </c>
      <c r="C37" s="33" t="b">
        <v>1</v>
      </c>
      <c r="D37" s="33" t="b">
        <v>1</v>
      </c>
      <c r="E37" s="33" t="b">
        <v>1</v>
      </c>
      <c r="F37" s="45" t="s">
        <v>334</v>
      </c>
      <c r="G37" s="45" t="s">
        <v>334</v>
      </c>
    </row>
    <row r="38" spans="1:7" ht="15" thickBot="1">
      <c r="A38" s="34" t="s">
        <v>243</v>
      </c>
      <c r="B38" s="32" t="b">
        <v>1</v>
      </c>
      <c r="C38" s="33" t="b">
        <v>1</v>
      </c>
      <c r="D38" s="33" t="b">
        <v>1</v>
      </c>
      <c r="E38" s="33" t="b">
        <v>1</v>
      </c>
      <c r="F38" s="45" t="s">
        <v>334</v>
      </c>
      <c r="G38" s="45" t="s">
        <v>334</v>
      </c>
    </row>
    <row r="39" spans="1:7" ht="15" thickBot="1">
      <c r="A39" s="34" t="s">
        <v>4</v>
      </c>
      <c r="B39" s="32" t="b">
        <v>0</v>
      </c>
      <c r="C39" s="33" t="b">
        <v>0</v>
      </c>
      <c r="D39" s="33" t="b">
        <v>0</v>
      </c>
      <c r="E39" s="33" t="b">
        <v>0</v>
      </c>
      <c r="F39" s="45" t="b">
        <v>1</v>
      </c>
      <c r="G39" s="45" t="b">
        <v>1</v>
      </c>
    </row>
    <row r="40" spans="1:7" ht="15" thickBot="1">
      <c r="A40" s="34" t="s">
        <v>244</v>
      </c>
      <c r="B40" s="32" t="b">
        <v>1</v>
      </c>
      <c r="C40" s="33" t="b">
        <v>1</v>
      </c>
      <c r="D40" s="33" t="b">
        <v>1</v>
      </c>
      <c r="E40" s="33" t="b">
        <v>1</v>
      </c>
      <c r="F40" s="45" t="b">
        <v>1</v>
      </c>
      <c r="G40" s="45" t="s">
        <v>334</v>
      </c>
    </row>
    <row r="41" spans="1:7" ht="15" thickBot="1">
      <c r="A41" s="34" t="s">
        <v>53</v>
      </c>
      <c r="B41" s="32" t="b">
        <v>0</v>
      </c>
      <c r="C41" s="33" t="b">
        <v>0</v>
      </c>
      <c r="D41" s="33" t="b">
        <v>0</v>
      </c>
      <c r="E41" s="33" t="b">
        <v>0</v>
      </c>
      <c r="F41" s="45" t="s">
        <v>334</v>
      </c>
      <c r="G41" s="45" t="b">
        <v>1</v>
      </c>
    </row>
    <row r="42" spans="1:7" ht="15" thickBot="1">
      <c r="A42" s="34" t="s">
        <v>245</v>
      </c>
      <c r="B42" s="32" t="b">
        <v>1</v>
      </c>
      <c r="C42" s="33" t="b">
        <v>1</v>
      </c>
      <c r="D42" s="33" t="b">
        <v>1</v>
      </c>
      <c r="E42" s="33" t="b">
        <v>1</v>
      </c>
      <c r="F42" s="45" t="b">
        <v>1</v>
      </c>
      <c r="G42" s="45" t="s">
        <v>334</v>
      </c>
    </row>
    <row r="43" spans="1:7" ht="15" thickBot="1">
      <c r="A43" s="34" t="s">
        <v>246</v>
      </c>
      <c r="B43" s="32" t="b">
        <v>1</v>
      </c>
      <c r="C43" s="33" t="b">
        <v>1</v>
      </c>
      <c r="D43" s="33" t="b">
        <v>1</v>
      </c>
      <c r="E43" s="33" t="b">
        <v>1</v>
      </c>
      <c r="F43" s="45" t="b">
        <v>1</v>
      </c>
      <c r="G43" s="45" t="s">
        <v>334</v>
      </c>
    </row>
    <row r="44" spans="1:7" ht="15" thickBot="1">
      <c r="A44" s="34" t="s">
        <v>247</v>
      </c>
      <c r="B44" s="32" t="b">
        <v>1</v>
      </c>
      <c r="C44" s="33" t="b">
        <v>1</v>
      </c>
      <c r="D44" s="33" t="b">
        <v>1</v>
      </c>
      <c r="E44" s="33" t="b">
        <v>1</v>
      </c>
      <c r="F44" s="45" t="s">
        <v>334</v>
      </c>
      <c r="G44" s="45" t="s">
        <v>334</v>
      </c>
    </row>
    <row r="45" spans="1:7" ht="15" thickBot="1">
      <c r="A45" s="34" t="s">
        <v>5</v>
      </c>
      <c r="B45" s="32" t="b">
        <v>0</v>
      </c>
      <c r="C45" s="33" t="b">
        <v>0</v>
      </c>
      <c r="D45" s="33" t="b">
        <v>0</v>
      </c>
      <c r="E45" s="33" t="b">
        <v>0</v>
      </c>
      <c r="F45" s="45" t="b">
        <v>1</v>
      </c>
      <c r="G45" s="45" t="b">
        <v>1</v>
      </c>
    </row>
    <row r="46" spans="1:7" ht="15" thickBot="1">
      <c r="A46" s="34" t="s">
        <v>21</v>
      </c>
      <c r="B46" s="32" t="b">
        <v>0</v>
      </c>
      <c r="C46" s="33" t="b">
        <v>0</v>
      </c>
      <c r="D46" s="33" t="b">
        <v>0</v>
      </c>
      <c r="E46" s="33" t="b">
        <v>0</v>
      </c>
      <c r="F46" s="45" t="b">
        <v>1</v>
      </c>
      <c r="G46" s="45" t="b">
        <v>1</v>
      </c>
    </row>
    <row r="47" spans="1:7" ht="15" thickBot="1">
      <c r="A47" s="34" t="s">
        <v>22</v>
      </c>
      <c r="B47" s="32" t="b">
        <v>0</v>
      </c>
      <c r="C47" s="33" t="b">
        <v>0</v>
      </c>
      <c r="D47" s="33" t="b">
        <v>0</v>
      </c>
      <c r="E47" s="33" t="b">
        <v>0</v>
      </c>
      <c r="F47" s="45" t="b">
        <v>1</v>
      </c>
      <c r="G47" s="45" t="b">
        <v>1</v>
      </c>
    </row>
    <row r="48" spans="1:7" ht="15" thickBot="1">
      <c r="A48" s="34" t="s">
        <v>23</v>
      </c>
      <c r="B48" s="32" t="b">
        <v>0</v>
      </c>
      <c r="C48" s="33" t="b">
        <v>0</v>
      </c>
      <c r="D48" s="33" t="b">
        <v>0</v>
      </c>
      <c r="E48" s="33" t="b">
        <v>0</v>
      </c>
      <c r="F48" s="45" t="b">
        <v>1</v>
      </c>
      <c r="G48" s="45" t="b">
        <v>1</v>
      </c>
    </row>
    <row r="49" spans="1:7" ht="15" thickBot="1">
      <c r="A49" s="34" t="s">
        <v>38</v>
      </c>
      <c r="B49" s="32" t="b">
        <v>0</v>
      </c>
      <c r="C49" s="33" t="b">
        <v>0</v>
      </c>
      <c r="D49" s="33" t="b">
        <v>0</v>
      </c>
      <c r="E49" s="33" t="b">
        <v>0</v>
      </c>
      <c r="F49" s="45" t="b">
        <v>1</v>
      </c>
      <c r="G49" s="45" t="b">
        <v>1</v>
      </c>
    </row>
    <row r="50" spans="1:7" ht="15" thickBot="1">
      <c r="A50" s="34" t="s">
        <v>24</v>
      </c>
      <c r="B50" s="32" t="b">
        <v>0</v>
      </c>
      <c r="C50" s="33" t="b">
        <v>0</v>
      </c>
      <c r="D50" s="33" t="b">
        <v>0</v>
      </c>
      <c r="E50" s="33" t="b">
        <v>0</v>
      </c>
      <c r="F50" s="45" t="b">
        <v>1</v>
      </c>
      <c r="G50" s="45" t="b">
        <v>1</v>
      </c>
    </row>
    <row r="51" spans="1:7" ht="15" thickBot="1">
      <c r="A51" s="34" t="s">
        <v>248</v>
      </c>
      <c r="B51" s="32" t="b">
        <v>1</v>
      </c>
      <c r="C51" s="33" t="b">
        <v>1</v>
      </c>
      <c r="D51" s="33" t="b">
        <v>1</v>
      </c>
      <c r="E51" s="33" t="b">
        <v>1</v>
      </c>
      <c r="F51" s="45" t="s">
        <v>334</v>
      </c>
      <c r="G51" s="45" t="s">
        <v>334</v>
      </c>
    </row>
    <row r="52" spans="1:7" ht="15" thickBot="1">
      <c r="A52" s="34" t="s">
        <v>39</v>
      </c>
      <c r="B52" s="32" t="b">
        <v>0</v>
      </c>
      <c r="C52" s="33" t="b">
        <v>0</v>
      </c>
      <c r="D52" s="33" t="b">
        <v>0</v>
      </c>
      <c r="E52" s="33" t="b">
        <v>0</v>
      </c>
      <c r="F52" s="45" t="b">
        <v>1</v>
      </c>
      <c r="G52" s="45" t="b">
        <v>1</v>
      </c>
    </row>
    <row r="53" spans="1:7" ht="15" thickBot="1">
      <c r="A53" s="34" t="s">
        <v>6</v>
      </c>
      <c r="B53" s="32" t="b">
        <v>0</v>
      </c>
      <c r="C53" s="33" t="b">
        <v>0</v>
      </c>
      <c r="D53" s="33" t="b">
        <v>0</v>
      </c>
      <c r="E53" s="33" t="b">
        <v>0</v>
      </c>
      <c r="F53" s="45" t="b">
        <v>1</v>
      </c>
      <c r="G53" s="45" t="b">
        <v>1</v>
      </c>
    </row>
    <row r="54" spans="1:7" ht="15" thickBot="1">
      <c r="A54" s="34" t="s">
        <v>7</v>
      </c>
      <c r="B54" s="32" t="b">
        <v>0</v>
      </c>
      <c r="C54" s="33" t="b">
        <v>0</v>
      </c>
      <c r="D54" s="33" t="b">
        <v>0</v>
      </c>
      <c r="E54" s="33" t="b">
        <v>0</v>
      </c>
      <c r="F54" s="45" t="b">
        <v>1</v>
      </c>
      <c r="G54" s="45" t="b">
        <v>1</v>
      </c>
    </row>
    <row r="55" spans="1:7" ht="15" thickBot="1">
      <c r="A55" s="34" t="s">
        <v>249</v>
      </c>
      <c r="B55" s="32" t="b">
        <v>1</v>
      </c>
      <c r="C55" s="33" t="b">
        <v>1</v>
      </c>
      <c r="D55" s="33" t="b">
        <v>1</v>
      </c>
      <c r="E55" s="33" t="b">
        <v>1</v>
      </c>
      <c r="F55" s="45" t="s">
        <v>334</v>
      </c>
      <c r="G55" s="45" t="s">
        <v>334</v>
      </c>
    </row>
    <row r="56" spans="1:7" ht="15" thickBot="1">
      <c r="A56" s="34" t="s">
        <v>8</v>
      </c>
      <c r="B56" s="32" t="b">
        <v>0</v>
      </c>
      <c r="C56" s="33" t="b">
        <v>0</v>
      </c>
      <c r="D56" s="33" t="b">
        <v>0</v>
      </c>
      <c r="E56" s="33" t="b">
        <v>0</v>
      </c>
      <c r="F56" s="45" t="b">
        <v>1</v>
      </c>
      <c r="G56" s="45" t="b">
        <v>1</v>
      </c>
    </row>
    <row r="57" spans="1:7" ht="15" thickBot="1">
      <c r="A57" s="34" t="s">
        <v>9</v>
      </c>
      <c r="B57" s="32" t="b">
        <v>0</v>
      </c>
      <c r="C57" s="33" t="b">
        <v>0</v>
      </c>
      <c r="D57" s="33" t="b">
        <v>0</v>
      </c>
      <c r="E57" s="33" t="b">
        <v>0</v>
      </c>
      <c r="F57" s="45" t="b">
        <v>1</v>
      </c>
      <c r="G57" s="45" t="b">
        <v>1</v>
      </c>
    </row>
    <row r="58" spans="1:7" ht="15" thickBot="1">
      <c r="A58" s="34" t="s">
        <v>250</v>
      </c>
      <c r="B58" s="32" t="b">
        <v>1</v>
      </c>
      <c r="C58" s="33" t="b">
        <v>1</v>
      </c>
      <c r="D58" s="33" t="b">
        <v>1</v>
      </c>
      <c r="E58" s="33" t="b">
        <v>1</v>
      </c>
      <c r="F58" s="45" t="b">
        <v>1</v>
      </c>
      <c r="G58" s="45" t="s">
        <v>334</v>
      </c>
    </row>
    <row r="59" spans="1:7" ht="15" thickBot="1">
      <c r="A59" s="34" t="s">
        <v>40</v>
      </c>
      <c r="B59" s="32" t="b">
        <v>0</v>
      </c>
      <c r="C59" s="33" t="b">
        <v>0</v>
      </c>
      <c r="D59" s="33" t="b">
        <v>0</v>
      </c>
      <c r="E59" s="33" t="b">
        <v>0</v>
      </c>
      <c r="F59" s="45" t="b">
        <v>1</v>
      </c>
      <c r="G59" s="45" t="b">
        <v>1</v>
      </c>
    </row>
    <row r="60" spans="1:7" ht="15" thickBot="1">
      <c r="A60" s="34" t="s">
        <v>10</v>
      </c>
      <c r="B60" s="32" t="b">
        <v>0</v>
      </c>
      <c r="C60" s="33" t="b">
        <v>0</v>
      </c>
      <c r="D60" s="33" t="b">
        <v>0</v>
      </c>
      <c r="E60" s="33" t="b">
        <v>0</v>
      </c>
      <c r="F60" s="45" t="b">
        <v>1</v>
      </c>
      <c r="G60" s="45" t="b">
        <v>1</v>
      </c>
    </row>
    <row r="61" spans="1:7" ht="15" thickBot="1">
      <c r="A61" s="34" t="s">
        <v>251</v>
      </c>
      <c r="B61" s="32" t="b">
        <v>1</v>
      </c>
      <c r="C61" s="33" t="b">
        <v>1</v>
      </c>
      <c r="D61" s="33" t="b">
        <v>1</v>
      </c>
      <c r="E61" s="33" t="b">
        <v>1</v>
      </c>
      <c r="F61" s="45" t="s">
        <v>334</v>
      </c>
      <c r="G61" s="45" t="s">
        <v>334</v>
      </c>
    </row>
    <row r="62" spans="1:7" ht="15" thickBot="1">
      <c r="A62" s="34" t="s">
        <v>25</v>
      </c>
      <c r="B62" s="32" t="b">
        <v>0</v>
      </c>
      <c r="C62" s="33" t="b">
        <v>0</v>
      </c>
      <c r="D62" s="33" t="b">
        <v>0</v>
      </c>
      <c r="E62" s="33" t="b">
        <v>0</v>
      </c>
      <c r="F62" s="45" t="b">
        <v>1</v>
      </c>
      <c r="G62" s="45" t="b">
        <v>1</v>
      </c>
    </row>
    <row r="63" spans="1:7" ht="15" thickBot="1">
      <c r="A63" s="34" t="s">
        <v>26</v>
      </c>
      <c r="B63" s="32" t="b">
        <v>0</v>
      </c>
      <c r="C63" s="33" t="b">
        <v>0</v>
      </c>
      <c r="D63" s="33" t="b">
        <v>0</v>
      </c>
      <c r="E63" s="33" t="b">
        <v>0</v>
      </c>
      <c r="F63" s="45" t="b">
        <v>1</v>
      </c>
      <c r="G63" s="45" t="b">
        <v>1</v>
      </c>
    </row>
    <row r="64" spans="1:7" ht="15" thickBot="1">
      <c r="A64" s="34" t="s">
        <v>27</v>
      </c>
      <c r="B64" s="32" t="b">
        <v>0</v>
      </c>
      <c r="C64" s="33" t="b">
        <v>0</v>
      </c>
      <c r="D64" s="33" t="b">
        <v>0</v>
      </c>
      <c r="E64" s="33" t="b">
        <v>0</v>
      </c>
      <c r="F64" s="45" t="b">
        <v>1</v>
      </c>
      <c r="G64" s="45" t="b">
        <v>1</v>
      </c>
    </row>
    <row r="65" spans="1:7" ht="15" thickBot="1">
      <c r="A65" s="34" t="s">
        <v>28</v>
      </c>
      <c r="B65" s="32" t="b">
        <v>0</v>
      </c>
      <c r="C65" s="33" t="b">
        <v>0</v>
      </c>
      <c r="D65" s="33" t="b">
        <v>0</v>
      </c>
      <c r="E65" s="33" t="b">
        <v>0</v>
      </c>
      <c r="F65" s="45" t="b">
        <v>1</v>
      </c>
      <c r="G65" s="45" t="b">
        <v>1</v>
      </c>
    </row>
    <row r="66" spans="1:7" ht="15" thickBot="1">
      <c r="A66" s="34" t="s">
        <v>29</v>
      </c>
      <c r="B66" s="32" t="b">
        <v>0</v>
      </c>
      <c r="C66" s="33" t="b">
        <v>0</v>
      </c>
      <c r="D66" s="33" t="b">
        <v>0</v>
      </c>
      <c r="E66" s="33" t="b">
        <v>0</v>
      </c>
      <c r="F66" s="45" t="b">
        <v>1</v>
      </c>
      <c r="G66" s="45" t="b">
        <v>1</v>
      </c>
    </row>
    <row r="67" spans="1:7" ht="15" thickBot="1">
      <c r="A67" s="34" t="s">
        <v>30</v>
      </c>
      <c r="B67" s="32" t="b">
        <v>0</v>
      </c>
      <c r="C67" s="33" t="b">
        <v>0</v>
      </c>
      <c r="D67" s="33" t="b">
        <v>0</v>
      </c>
      <c r="E67" s="33" t="b">
        <v>0</v>
      </c>
      <c r="F67" s="45" t="b">
        <v>1</v>
      </c>
      <c r="G67" s="45" t="b">
        <v>1</v>
      </c>
    </row>
    <row r="68" spans="1:7" ht="15" thickBot="1">
      <c r="A68" s="34" t="s">
        <v>41</v>
      </c>
      <c r="B68" s="32" t="b">
        <v>0</v>
      </c>
      <c r="C68" s="33" t="b">
        <v>0</v>
      </c>
      <c r="D68" s="33" t="b">
        <v>0</v>
      </c>
      <c r="E68" s="33" t="b">
        <v>0</v>
      </c>
      <c r="F68" s="45" t="b">
        <v>1</v>
      </c>
      <c r="G68" s="45" t="b">
        <v>1</v>
      </c>
    </row>
    <row r="69" spans="1:7" ht="15" thickBot="1">
      <c r="A69" s="34" t="s">
        <v>11</v>
      </c>
      <c r="B69" s="32" t="b">
        <v>0</v>
      </c>
      <c r="C69" s="33" t="b">
        <v>0</v>
      </c>
      <c r="D69" s="33" t="b">
        <v>0</v>
      </c>
      <c r="E69" s="33" t="b">
        <v>0</v>
      </c>
      <c r="F69" s="45" t="b">
        <v>1</v>
      </c>
      <c r="G69" s="45" t="b">
        <v>1</v>
      </c>
    </row>
    <row r="70" spans="1:7" ht="15" thickBot="1">
      <c r="A70" s="34" t="s">
        <v>252</v>
      </c>
      <c r="B70" s="32" t="b">
        <v>1</v>
      </c>
      <c r="C70" s="33" t="b">
        <v>1</v>
      </c>
      <c r="D70" s="33" t="b">
        <v>1</v>
      </c>
      <c r="E70" s="33" t="b">
        <v>1</v>
      </c>
      <c r="F70" s="45" t="s">
        <v>334</v>
      </c>
      <c r="G70" s="45" t="s">
        <v>334</v>
      </c>
    </row>
    <row r="71" spans="1:7" ht="15" thickBot="1">
      <c r="A71" s="34" t="s">
        <v>42</v>
      </c>
      <c r="B71" s="32" t="b">
        <v>0</v>
      </c>
      <c r="C71" s="33" t="b">
        <v>0</v>
      </c>
      <c r="D71" s="33" t="b">
        <v>0</v>
      </c>
      <c r="E71" s="33" t="b">
        <v>0</v>
      </c>
      <c r="F71" s="45" t="b">
        <v>1</v>
      </c>
      <c r="G71" s="45" t="b">
        <v>1</v>
      </c>
    </row>
    <row r="72" spans="1:7" ht="15" thickBot="1">
      <c r="A72" s="34" t="s">
        <v>31</v>
      </c>
      <c r="B72" s="32" t="b">
        <v>0</v>
      </c>
      <c r="C72" s="33" t="b">
        <v>0</v>
      </c>
      <c r="D72" s="33" t="b">
        <v>0</v>
      </c>
      <c r="E72" s="33" t="b">
        <v>0</v>
      </c>
      <c r="F72" s="45" t="b">
        <v>1</v>
      </c>
      <c r="G72" s="45" t="b">
        <v>1</v>
      </c>
    </row>
    <row r="73" spans="1:7" ht="15" thickBot="1">
      <c r="A73" s="34" t="s">
        <v>253</v>
      </c>
      <c r="B73" s="32" t="b">
        <v>1</v>
      </c>
      <c r="C73" s="33" t="b">
        <v>1</v>
      </c>
      <c r="D73" s="33" t="b">
        <v>1</v>
      </c>
      <c r="E73" s="33" t="b">
        <v>1</v>
      </c>
      <c r="F73" s="45" t="s">
        <v>334</v>
      </c>
      <c r="G73" s="45" t="s">
        <v>334</v>
      </c>
    </row>
    <row r="74" spans="1:7" ht="15" thickBot="1">
      <c r="A74" s="34" t="s">
        <v>12</v>
      </c>
      <c r="B74" s="32" t="b">
        <v>0</v>
      </c>
      <c r="C74" s="33" t="b">
        <v>0</v>
      </c>
      <c r="D74" s="33" t="b">
        <v>0</v>
      </c>
      <c r="E74" s="33" t="b">
        <v>0</v>
      </c>
      <c r="F74" s="45" t="b">
        <v>1</v>
      </c>
      <c r="G74" s="45" t="b">
        <v>1</v>
      </c>
    </row>
    <row r="75" spans="1:7" ht="15" thickBot="1">
      <c r="A75" s="34" t="s">
        <v>32</v>
      </c>
      <c r="B75" s="32" t="b">
        <v>0</v>
      </c>
      <c r="C75" s="33" t="b">
        <v>0</v>
      </c>
      <c r="D75" s="33" t="b">
        <v>0</v>
      </c>
      <c r="E75" s="33" t="b">
        <v>0</v>
      </c>
      <c r="F75" s="45" t="b">
        <v>1</v>
      </c>
      <c r="G75" s="45" t="b">
        <v>1</v>
      </c>
    </row>
    <row r="76" spans="1:7" ht="15" thickBot="1">
      <c r="A76" s="34" t="s">
        <v>221</v>
      </c>
      <c r="B76" s="32" t="b">
        <v>1</v>
      </c>
      <c r="C76" s="33" t="b">
        <v>0</v>
      </c>
      <c r="D76" s="33" t="b">
        <v>1</v>
      </c>
      <c r="E76" s="33" t="b">
        <v>1</v>
      </c>
      <c r="F76" s="45" t="s">
        <v>334</v>
      </c>
      <c r="G76" s="45" t="s">
        <v>334</v>
      </c>
    </row>
    <row r="77" spans="1:7" ht="15" thickBot="1">
      <c r="A77" s="34" t="s">
        <v>254</v>
      </c>
      <c r="B77" s="32" t="b">
        <v>1</v>
      </c>
      <c r="C77" s="33" t="b">
        <v>1</v>
      </c>
      <c r="D77" s="33" t="b">
        <v>1</v>
      </c>
      <c r="E77" s="33" t="b">
        <v>1</v>
      </c>
      <c r="F77" s="45" t="b">
        <v>1</v>
      </c>
      <c r="G77" s="45" t="s">
        <v>334</v>
      </c>
    </row>
    <row r="78" spans="1:7" ht="15" thickBot="1">
      <c r="A78" s="34" t="s">
        <v>43</v>
      </c>
      <c r="B78" s="32" t="b">
        <v>0</v>
      </c>
      <c r="C78" s="33" t="b">
        <v>0</v>
      </c>
      <c r="D78" s="33" t="b">
        <v>0</v>
      </c>
      <c r="E78" s="33" t="b">
        <v>0</v>
      </c>
      <c r="F78" s="45" t="b">
        <v>1</v>
      </c>
      <c r="G78" s="45" t="b">
        <v>1</v>
      </c>
    </row>
    <row r="79" spans="1:7" ht="15" thickBot="1">
      <c r="A79" s="34" t="s">
        <v>108</v>
      </c>
      <c r="B79" s="32" t="b">
        <v>0</v>
      </c>
      <c r="C79" s="33" t="b">
        <v>1</v>
      </c>
      <c r="D79" s="33" t="b">
        <v>0</v>
      </c>
      <c r="E79" s="33" t="b">
        <v>0</v>
      </c>
      <c r="F79" s="45" t="b">
        <v>1</v>
      </c>
      <c r="G79" s="45" t="b">
        <v>1</v>
      </c>
    </row>
    <row r="80" spans="1:7" ht="15" thickBot="1">
      <c r="A80" s="34" t="s">
        <v>109</v>
      </c>
      <c r="B80" s="32" t="b">
        <v>0</v>
      </c>
      <c r="C80" s="33" t="b">
        <v>1</v>
      </c>
      <c r="D80" s="33" t="b">
        <v>0</v>
      </c>
      <c r="E80" s="33" t="b">
        <v>0</v>
      </c>
      <c r="F80" s="45" t="b">
        <v>1</v>
      </c>
      <c r="G80" s="45" t="b">
        <v>1</v>
      </c>
    </row>
    <row r="81" spans="1:7" ht="15" thickBot="1">
      <c r="A81" s="34" t="s">
        <v>224</v>
      </c>
      <c r="B81" s="32" t="b">
        <v>1</v>
      </c>
      <c r="C81" s="33" t="b">
        <v>0</v>
      </c>
      <c r="D81" s="33" t="b">
        <v>1</v>
      </c>
      <c r="E81" s="33" t="b">
        <v>1</v>
      </c>
      <c r="F81" s="45" t="b">
        <v>1</v>
      </c>
      <c r="G81" s="45" t="b">
        <v>1</v>
      </c>
    </row>
    <row r="82" spans="1:7" ht="15" thickBot="1">
      <c r="A82" s="34" t="s">
        <v>255</v>
      </c>
      <c r="B82" s="32" t="b">
        <v>1</v>
      </c>
      <c r="C82" s="33" t="b">
        <v>1</v>
      </c>
      <c r="D82" s="33" t="b">
        <v>1</v>
      </c>
      <c r="E82" s="33" t="b">
        <v>1</v>
      </c>
      <c r="F82" s="45" t="s">
        <v>334</v>
      </c>
      <c r="G82" s="45" t="s">
        <v>334</v>
      </c>
    </row>
    <row r="83" spans="1:7" ht="15" thickBot="1">
      <c r="A83" s="34" t="s">
        <v>256</v>
      </c>
      <c r="B83" s="32" t="b">
        <v>1</v>
      </c>
      <c r="C83" s="33" t="b">
        <v>1</v>
      </c>
      <c r="D83" s="33" t="b">
        <v>1</v>
      </c>
      <c r="E83" s="33" t="b">
        <v>1</v>
      </c>
      <c r="F83" s="45" t="s">
        <v>334</v>
      </c>
      <c r="G83" s="45" t="s">
        <v>334</v>
      </c>
    </row>
    <row r="84" spans="1:7" ht="15" thickBot="1">
      <c r="A84" s="34" t="s">
        <v>13</v>
      </c>
      <c r="B84" s="32" t="b">
        <v>0</v>
      </c>
      <c r="C84" s="33" t="b">
        <v>0</v>
      </c>
      <c r="D84" s="33" t="b">
        <v>0</v>
      </c>
      <c r="E84" s="33" t="b">
        <v>0</v>
      </c>
      <c r="F84" s="45" t="b">
        <v>1</v>
      </c>
      <c r="G84" s="45" t="b">
        <v>1</v>
      </c>
    </row>
    <row r="85" spans="1:7" ht="15" thickBot="1">
      <c r="A85" s="34" t="s">
        <v>44</v>
      </c>
      <c r="B85" s="32" t="b">
        <v>0</v>
      </c>
      <c r="C85" s="33" t="b">
        <v>0</v>
      </c>
      <c r="D85" s="33" t="b">
        <v>0</v>
      </c>
      <c r="E85" s="33" t="b">
        <v>0</v>
      </c>
      <c r="F85" s="45" t="b">
        <v>1</v>
      </c>
      <c r="G85" s="45" t="b">
        <v>1</v>
      </c>
    </row>
    <row r="86" spans="1:7" ht="15" thickBot="1">
      <c r="A86" s="34" t="s">
        <v>257</v>
      </c>
      <c r="B86" s="32" t="b">
        <v>1</v>
      </c>
      <c r="C86" s="33" t="b">
        <v>1</v>
      </c>
      <c r="D86" s="33" t="b">
        <v>1</v>
      </c>
      <c r="E86" s="33" t="b">
        <v>1</v>
      </c>
      <c r="F86" s="45" t="s">
        <v>334</v>
      </c>
      <c r="G86" s="45" t="s">
        <v>334</v>
      </c>
    </row>
    <row r="87" spans="1:7" ht="15" thickBot="1">
      <c r="A87" s="34" t="s">
        <v>258</v>
      </c>
      <c r="B87" s="32" t="b">
        <v>1</v>
      </c>
      <c r="C87" s="33" t="b">
        <v>1</v>
      </c>
      <c r="D87" s="33" t="b">
        <v>1</v>
      </c>
      <c r="E87" s="33" t="b">
        <v>1</v>
      </c>
      <c r="F87" s="45" t="s">
        <v>334</v>
      </c>
      <c r="G87" s="45" t="s">
        <v>334</v>
      </c>
    </row>
    <row r="88" spans="1:7" ht="15" thickBot="1">
      <c r="A88" s="34" t="s">
        <v>14</v>
      </c>
      <c r="B88" s="32" t="b">
        <v>0</v>
      </c>
      <c r="C88" s="33" t="b">
        <v>0</v>
      </c>
      <c r="D88" s="33" t="b">
        <v>0</v>
      </c>
      <c r="E88" s="33" t="b">
        <v>0</v>
      </c>
      <c r="F88" s="45" t="b">
        <v>1</v>
      </c>
      <c r="G88" s="45" t="b">
        <v>1</v>
      </c>
    </row>
    <row r="89" spans="1:7" ht="15" thickBot="1">
      <c r="A89" s="36" t="s">
        <v>259</v>
      </c>
      <c r="B89" s="32" t="b">
        <v>1</v>
      </c>
      <c r="C89" s="33" t="b">
        <v>1</v>
      </c>
      <c r="D89" s="33" t="b">
        <v>1</v>
      </c>
      <c r="E89" s="33" t="b">
        <v>1</v>
      </c>
      <c r="F89" s="45" t="b">
        <v>1</v>
      </c>
      <c r="G89" s="45" t="s">
        <v>334</v>
      </c>
    </row>
  </sheetData>
  <phoneticPr fontId="2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D51"/>
  <sheetViews>
    <sheetView topLeftCell="A7" zoomScale="70" zoomScaleNormal="70" workbookViewId="0">
      <selection activeCell="B11" sqref="B11"/>
    </sheetView>
  </sheetViews>
  <sheetFormatPr baseColWidth="10" defaultColWidth="8.83203125" defaultRowHeight="14"/>
  <cols>
    <col min="1" max="1" width="15.1640625" customWidth="1"/>
  </cols>
  <sheetData>
    <row r="1" spans="1:26">
      <c r="A1" s="47" t="s">
        <v>212</v>
      </c>
    </row>
    <row r="2" spans="1:26">
      <c r="A2" s="47" t="s">
        <v>213</v>
      </c>
    </row>
    <row r="3" spans="1:26">
      <c r="A3" s="47" t="s">
        <v>214</v>
      </c>
    </row>
    <row r="4" spans="1:26">
      <c r="A4" s="47" t="s">
        <v>215</v>
      </c>
    </row>
    <row r="5" spans="1:26">
      <c r="A5" s="47" t="s">
        <v>500</v>
      </c>
    </row>
    <row r="6" spans="1:26">
      <c r="A6" s="47" t="s">
        <v>501</v>
      </c>
    </row>
    <row r="11" spans="1:26">
      <c r="B11" s="49" t="s">
        <v>186</v>
      </c>
      <c r="C11" s="49" t="s">
        <v>418</v>
      </c>
      <c r="D11" s="49" t="s">
        <v>352</v>
      </c>
      <c r="E11" s="49" t="s">
        <v>419</v>
      </c>
      <c r="F11" s="49" t="s">
        <v>407</v>
      </c>
      <c r="G11" s="49" t="s">
        <v>407</v>
      </c>
      <c r="H11" s="49" t="s">
        <v>420</v>
      </c>
      <c r="I11" s="49" t="s">
        <v>421</v>
      </c>
      <c r="J11" t="s">
        <v>417</v>
      </c>
      <c r="M11" s="49" t="s">
        <v>404</v>
      </c>
      <c r="N11" s="49" t="s">
        <v>405</v>
      </c>
      <c r="O11" s="49" t="s">
        <v>352</v>
      </c>
      <c r="P11" s="49" t="s">
        <v>406</v>
      </c>
      <c r="Q11" s="49" t="s">
        <v>407</v>
      </c>
      <c r="R11" s="49" t="s">
        <v>407</v>
      </c>
      <c r="S11" s="49" t="s">
        <v>408</v>
      </c>
      <c r="T11" s="49" t="s">
        <v>409</v>
      </c>
      <c r="U11" t="s">
        <v>404</v>
      </c>
    </row>
    <row r="12" spans="1:26">
      <c r="B12" s="49" t="s">
        <v>186</v>
      </c>
      <c r="C12" s="49" t="s">
        <v>422</v>
      </c>
      <c r="D12" s="49" t="s">
        <v>423</v>
      </c>
      <c r="E12" s="49" t="s">
        <v>424</v>
      </c>
      <c r="F12" s="49" t="s">
        <v>424</v>
      </c>
      <c r="G12" s="49" t="s">
        <v>352</v>
      </c>
      <c r="H12" s="49" t="s">
        <v>425</v>
      </c>
      <c r="I12" s="49" t="s">
        <v>425</v>
      </c>
      <c r="J12" t="s">
        <v>426</v>
      </c>
      <c r="M12" s="49" t="s">
        <v>352</v>
      </c>
      <c r="N12" s="49" t="s">
        <v>410</v>
      </c>
      <c r="O12" s="49" t="s">
        <v>411</v>
      </c>
      <c r="P12" s="49" t="s">
        <v>412</v>
      </c>
      <c r="Q12" s="49" t="s">
        <v>412</v>
      </c>
      <c r="R12" s="49" t="s">
        <v>352</v>
      </c>
      <c r="S12" s="49" t="s">
        <v>413</v>
      </c>
      <c r="T12" s="49" t="s">
        <v>413</v>
      </c>
      <c r="U12" t="s">
        <v>414</v>
      </c>
    </row>
    <row r="13" spans="1:26">
      <c r="B13" s="49" t="s">
        <v>186</v>
      </c>
      <c r="C13" s="49" t="s">
        <v>418</v>
      </c>
      <c r="D13" s="49" t="s">
        <v>352</v>
      </c>
      <c r="E13" s="49" t="s">
        <v>419</v>
      </c>
      <c r="F13" s="49" t="s">
        <v>407</v>
      </c>
      <c r="G13" s="49" t="s">
        <v>407</v>
      </c>
      <c r="H13" s="49" t="s">
        <v>427</v>
      </c>
      <c r="I13" s="49" t="s">
        <v>428</v>
      </c>
      <c r="J13" t="s">
        <v>417</v>
      </c>
      <c r="M13" s="49" t="s">
        <v>404</v>
      </c>
      <c r="N13" s="49" t="s">
        <v>405</v>
      </c>
      <c r="O13" s="49" t="s">
        <v>352</v>
      </c>
      <c r="P13" s="49" t="s">
        <v>406</v>
      </c>
      <c r="Q13" s="49" t="s">
        <v>407</v>
      </c>
      <c r="R13" s="49" t="s">
        <v>407</v>
      </c>
      <c r="S13" s="49" t="s">
        <v>415</v>
      </c>
      <c r="T13" s="49" t="s">
        <v>404</v>
      </c>
    </row>
    <row r="14" spans="1:26">
      <c r="B14" s="49" t="s">
        <v>186</v>
      </c>
      <c r="C14" s="49" t="s">
        <v>422</v>
      </c>
      <c r="D14" s="49" t="s">
        <v>423</v>
      </c>
      <c r="E14" s="49" t="s">
        <v>424</v>
      </c>
      <c r="F14" s="49" t="s">
        <v>424</v>
      </c>
      <c r="G14" s="49" t="s">
        <v>352</v>
      </c>
      <c r="H14" s="49" t="s">
        <v>429</v>
      </c>
      <c r="I14" s="49" t="s">
        <v>425</v>
      </c>
      <c r="J14" t="s">
        <v>425</v>
      </c>
      <c r="M14" s="49" t="s">
        <v>352</v>
      </c>
      <c r="N14" s="49" t="s">
        <v>410</v>
      </c>
      <c r="O14" s="49" t="s">
        <v>411</v>
      </c>
      <c r="P14" s="49" t="s">
        <v>412</v>
      </c>
      <c r="Q14" s="49" t="s">
        <v>412</v>
      </c>
      <c r="R14" s="49" t="s">
        <v>352</v>
      </c>
      <c r="S14" s="49" t="s">
        <v>413</v>
      </c>
      <c r="T14" s="49" t="s">
        <v>413</v>
      </c>
    </row>
    <row r="15" spans="1:26">
      <c r="B15" s="49" t="s">
        <v>513</v>
      </c>
      <c r="C15" s="49" t="s">
        <v>513</v>
      </c>
      <c r="D15" s="49" t="s">
        <v>514</v>
      </c>
      <c r="E15" s="49" t="s">
        <v>515</v>
      </c>
      <c r="F15" s="49" t="s">
        <v>516</v>
      </c>
      <c r="G15" s="49" t="s">
        <v>516</v>
      </c>
      <c r="H15" s="49" t="s">
        <v>517</v>
      </c>
      <c r="I15" s="49" t="s">
        <v>518</v>
      </c>
      <c r="M15" s="49" t="s">
        <v>404</v>
      </c>
      <c r="N15" s="49" t="s">
        <v>416</v>
      </c>
      <c r="O15" s="49" t="s">
        <v>407</v>
      </c>
      <c r="P15" s="49" t="s">
        <v>407</v>
      </c>
      <c r="Q15" s="49" t="s">
        <v>408</v>
      </c>
      <c r="R15" s="49" t="s">
        <v>409</v>
      </c>
      <c r="S15" s="49" t="s">
        <v>404</v>
      </c>
      <c r="T15" s="49"/>
    </row>
    <row r="16" spans="1:26">
      <c r="B16" s="49" t="s">
        <v>352</v>
      </c>
      <c r="C16" s="49" t="s">
        <v>354</v>
      </c>
      <c r="D16" s="49" t="s">
        <v>354</v>
      </c>
      <c r="E16" s="49" t="s">
        <v>519</v>
      </c>
      <c r="F16" s="49" t="s">
        <v>352</v>
      </c>
      <c r="G16" s="49" t="s">
        <v>353</v>
      </c>
      <c r="H16" s="49" t="s">
        <v>353</v>
      </c>
      <c r="I16" s="49" t="s">
        <v>520</v>
      </c>
      <c r="M16" s="49" t="s">
        <v>352</v>
      </c>
      <c r="N16" s="49" t="s">
        <v>412</v>
      </c>
      <c r="O16" s="49" t="s">
        <v>412</v>
      </c>
      <c r="P16" s="49" t="s">
        <v>352</v>
      </c>
      <c r="Q16" s="49" t="s">
        <v>413</v>
      </c>
      <c r="R16" s="49" t="s">
        <v>413</v>
      </c>
      <c r="S16" s="49" t="s">
        <v>414</v>
      </c>
      <c r="T16" s="49"/>
      <c r="Y16" s="49" t="s">
        <v>401</v>
      </c>
      <c r="Z16" s="49" t="s">
        <v>352</v>
      </c>
    </row>
    <row r="17" spans="1:26">
      <c r="Y17" s="49" t="s">
        <v>402</v>
      </c>
      <c r="Z17" s="49" t="s">
        <v>353</v>
      </c>
    </row>
    <row r="18" spans="1:26">
      <c r="Y18" s="49" t="s">
        <v>403</v>
      </c>
      <c r="Z18" s="49" t="s">
        <v>353</v>
      </c>
    </row>
    <row r="19" spans="1:26">
      <c r="A19" t="s">
        <v>355</v>
      </c>
      <c r="B19" s="48" t="e">
        <f t="shared" ref="B19:B24" si="0">VALUE(B11)</f>
        <v>#VALUE!</v>
      </c>
      <c r="C19" s="48">
        <f t="shared" ref="C19:K19" si="1">IF(AND(VALUE(C11)=0,VALUE(C12)=0),VALUE($B$11),VALUE(C11))</f>
        <v>97052</v>
      </c>
      <c r="D19" s="48">
        <f t="shared" si="1"/>
        <v>0</v>
      </c>
      <c r="E19" s="48">
        <f t="shared" si="1"/>
        <v>-99800</v>
      </c>
      <c r="F19" s="48">
        <f t="shared" si="1"/>
        <v>-250593</v>
      </c>
      <c r="G19" s="48">
        <f t="shared" si="1"/>
        <v>-250593</v>
      </c>
      <c r="H19" s="48">
        <f t="shared" si="1"/>
        <v>-216996</v>
      </c>
      <c r="I19" s="48">
        <f t="shared" si="1"/>
        <v>33459</v>
      </c>
      <c r="J19" s="48">
        <f t="shared" si="1"/>
        <v>140331</v>
      </c>
      <c r="K19" s="48" t="e">
        <f t="shared" si="1"/>
        <v>#VALUE!</v>
      </c>
      <c r="L19" t="s">
        <v>355</v>
      </c>
      <c r="M19" s="48">
        <f t="shared" ref="M19:M24" si="2">VALUE(M11)</f>
        <v>196263</v>
      </c>
      <c r="N19" s="48">
        <f>IF(AND(VALUE(N11)=0,VALUE(N12)=0),VALUE($M11),VALUE(N11))</f>
        <v>137070</v>
      </c>
      <c r="O19" s="48">
        <f t="shared" ref="O19:T19" si="3">IF(AND(VALUE(O11)=0,VALUE(O12)=0),VALUE($M11),VALUE(O11))</f>
        <v>0</v>
      </c>
      <c r="P19" s="48">
        <f t="shared" si="3"/>
        <v>-113500</v>
      </c>
      <c r="Q19" s="48">
        <f t="shared" si="3"/>
        <v>-250593</v>
      </c>
      <c r="R19" s="48">
        <f t="shared" si="3"/>
        <v>-250593</v>
      </c>
      <c r="S19" s="48">
        <f t="shared" si="3"/>
        <v>-205333</v>
      </c>
      <c r="T19" s="48">
        <f t="shared" si="3"/>
        <v>90267</v>
      </c>
      <c r="U19" s="48">
        <f>IF(AND(VALUE(U11)=0,VALUE(U12)=0),VALUE($M11),VALUE(U11))</f>
        <v>196263</v>
      </c>
      <c r="V19" s="48">
        <f>IF(AND(VALUE(V11)=0,VALUE(V12)=0),VALUE($M11),VALUE(V11))</f>
        <v>196263</v>
      </c>
      <c r="Y19" s="49" t="s">
        <v>403</v>
      </c>
      <c r="Z19" s="49" t="s">
        <v>354</v>
      </c>
    </row>
    <row r="20" spans="1:26">
      <c r="B20" s="48" t="e">
        <f t="shared" si="0"/>
        <v>#VALUE!</v>
      </c>
      <c r="C20" s="48">
        <f t="shared" ref="C20:K20" si="4">IF(AND(VALUE(C12)=0,VALUE(C11)=0),VALUE($B$12),VALUE(C12))</f>
        <v>3790</v>
      </c>
      <c r="D20" s="48">
        <f t="shared" si="4"/>
        <v>5993</v>
      </c>
      <c r="E20" s="48">
        <f t="shared" si="4"/>
        <v>7500</v>
      </c>
      <c r="F20" s="48">
        <f t="shared" si="4"/>
        <v>7500</v>
      </c>
      <c r="G20" s="48">
        <f t="shared" si="4"/>
        <v>0</v>
      </c>
      <c r="H20" s="48">
        <f t="shared" si="4"/>
        <v>-7500</v>
      </c>
      <c r="I20" s="48">
        <f t="shared" si="4"/>
        <v>-7500</v>
      </c>
      <c r="J20" s="48">
        <f t="shared" si="4"/>
        <v>-5328</v>
      </c>
      <c r="K20" s="48" t="e">
        <f t="shared" si="4"/>
        <v>#VALUE!</v>
      </c>
      <c r="M20" s="48">
        <f t="shared" si="2"/>
        <v>0</v>
      </c>
      <c r="N20" s="48">
        <f>IF(AND(VALUE(N12)=0,VALUE(N11)=0),VALUE($M12),VALUE(N12))</f>
        <v>5183</v>
      </c>
      <c r="O20" s="48">
        <f t="shared" ref="O20:T20" si="5">IF(AND(VALUE(O12)=0,VALUE(O11)=0),VALUE($M12),VALUE(O12))</f>
        <v>8244</v>
      </c>
      <c r="P20" s="48">
        <f t="shared" si="5"/>
        <v>10000</v>
      </c>
      <c r="Q20" s="48">
        <f t="shared" si="5"/>
        <v>10000</v>
      </c>
      <c r="R20" s="48">
        <f t="shared" si="5"/>
        <v>0</v>
      </c>
      <c r="S20" s="48">
        <f t="shared" si="5"/>
        <v>-10000</v>
      </c>
      <c r="T20" s="48">
        <f t="shared" si="5"/>
        <v>-10000</v>
      </c>
      <c r="U20" s="48">
        <f>IF(AND(VALUE(U12)=0,VALUE(U11)=0),VALUE($M12),VALUE(U12))</f>
        <v>-7451</v>
      </c>
      <c r="V20" s="48">
        <f>IF(AND(VALUE(V12)=0,VALUE(V11)=0),VALUE($M12),VALUE(V12))</f>
        <v>0</v>
      </c>
      <c r="Y20" s="49" t="s">
        <v>401</v>
      </c>
      <c r="Z20" s="49" t="s">
        <v>354</v>
      </c>
    </row>
    <row r="21" spans="1:26">
      <c r="A21" t="s">
        <v>356</v>
      </c>
      <c r="B21" s="48" t="e">
        <f t="shared" si="0"/>
        <v>#VALUE!</v>
      </c>
      <c r="C21" s="48">
        <f>IF(AND(VALUE(C13)=0,VALUE(C14)=0),VALUE($B13),VALUE(C13))</f>
        <v>97052</v>
      </c>
      <c r="D21" s="48">
        <f>IF(AND(VALUE(D13)=0,VALUE(D14)=0),VALUE($B13),VALUE(D13))</f>
        <v>0</v>
      </c>
      <c r="E21" s="48">
        <f>IF(AND(VALUE(E13)=0,VALUE(E14)=0),VALUE($B13),VALUE(E13))</f>
        <v>-99800</v>
      </c>
      <c r="F21" s="48">
        <f>IF(AND(VALUE(F13)=0,VALUE(F14)=0),VALUE($B13),VALUE(F13))</f>
        <v>-250593</v>
      </c>
      <c r="G21" s="48">
        <f>IF(AND(VALUE(G13)=0,VALUE(G14)=0),VALUE($B13),VALUE(G13))</f>
        <v>-250593</v>
      </c>
      <c r="H21" s="48">
        <f>VALUE(H13)</f>
        <v>-234896</v>
      </c>
      <c r="I21" s="48">
        <f>IF(AND(VALUE(I13)=0,VALUE(I14)=0),VALUE($B13),VALUE(I13))</f>
        <v>-26785</v>
      </c>
      <c r="J21" s="48">
        <f>IF(AND(VALUE(J13)=0,VALUE(J14)=0),VALUE($B13),VALUE(J13))</f>
        <v>140331</v>
      </c>
      <c r="K21" s="48" t="e">
        <f>IF(AND(VALUE(K13)=0,VALUE(K14)=0),VALUE($B13),VALUE(K13))</f>
        <v>#VALUE!</v>
      </c>
      <c r="L21" t="s">
        <v>356</v>
      </c>
      <c r="M21" s="48">
        <f t="shared" si="2"/>
        <v>196263</v>
      </c>
      <c r="N21" s="48">
        <f t="shared" ref="N21:U21" si="6">IF(AND(VALUE(N13)=0,VALUE(N14)=0),VALUE($M13),VALUE(N13))</f>
        <v>137070</v>
      </c>
      <c r="O21" s="48">
        <f t="shared" si="6"/>
        <v>0</v>
      </c>
      <c r="P21" s="48">
        <f t="shared" si="6"/>
        <v>-113500</v>
      </c>
      <c r="Q21" s="48">
        <f t="shared" si="6"/>
        <v>-250593</v>
      </c>
      <c r="R21" s="48">
        <f t="shared" si="6"/>
        <v>-250593</v>
      </c>
      <c r="S21" s="48">
        <f t="shared" si="6"/>
        <v>-79819</v>
      </c>
      <c r="T21" s="48">
        <f t="shared" si="6"/>
        <v>196263</v>
      </c>
      <c r="U21" s="48">
        <f t="shared" si="6"/>
        <v>196263</v>
      </c>
      <c r="Y21" s="49" t="s">
        <v>351</v>
      </c>
      <c r="Z21" s="49" t="s">
        <v>354</v>
      </c>
    </row>
    <row r="22" spans="1:26">
      <c r="B22" s="48" t="e">
        <f t="shared" si="0"/>
        <v>#VALUE!</v>
      </c>
      <c r="C22" s="48">
        <f>IF(AND(VALUE(C14)=0,VALUE(C13)=0),VALUE($B14),VALUE(C14))</f>
        <v>3790</v>
      </c>
      <c r="D22" s="48">
        <f>IF(AND(VALUE(D14)=0,VALUE(D13)=0),VALUE($B14),VALUE(D14))</f>
        <v>5993</v>
      </c>
      <c r="E22" s="48">
        <f>IF(AND(VALUE(E14)=0,VALUE(E13)=0),VALUE($B14),VALUE(E14))</f>
        <v>7500</v>
      </c>
      <c r="F22" s="48">
        <f>IF(AND(VALUE(F14)=0,VALUE(F13)=0),VALUE($B14),VALUE(F14))</f>
        <v>7500</v>
      </c>
      <c r="G22" s="48">
        <f>IF(AND(VALUE(G14)=0,VALUE(G13)=0),VALUE($B14),VALUE(G14))</f>
        <v>0</v>
      </c>
      <c r="H22" s="48">
        <f>VALUE(H14)</f>
        <v>-919</v>
      </c>
      <c r="I22" s="48">
        <f>IF(AND(VALUE(I14)=0,VALUE(I13)=0),VALUE($B14),VALUE(I14))</f>
        <v>-7500</v>
      </c>
      <c r="J22" s="48">
        <f>IF(AND(VALUE(J14)=0,VALUE(J13)=0),VALUE($B14),VALUE(J14))</f>
        <v>-7500</v>
      </c>
      <c r="K22" s="48" t="e">
        <f>IF(AND(VALUE(K14)=0,VALUE(K13)=0),VALUE($B14),VALUE(K14))</f>
        <v>#VALUE!</v>
      </c>
      <c r="M22" s="48">
        <f t="shared" si="2"/>
        <v>0</v>
      </c>
      <c r="N22" s="48">
        <f t="shared" ref="N22:U22" si="7">IF(AND(VALUE(N14)=0,VALUE(N13)=0),VALUE($M14),VALUE(N14))</f>
        <v>5183</v>
      </c>
      <c r="O22" s="48">
        <f t="shared" si="7"/>
        <v>8244</v>
      </c>
      <c r="P22" s="48">
        <f t="shared" si="7"/>
        <v>10000</v>
      </c>
      <c r="Q22" s="48">
        <f t="shared" si="7"/>
        <v>10000</v>
      </c>
      <c r="R22" s="48">
        <f t="shared" si="7"/>
        <v>0</v>
      </c>
      <c r="S22" s="48">
        <f t="shared" si="7"/>
        <v>-10000</v>
      </c>
      <c r="T22" s="48">
        <f t="shared" si="7"/>
        <v>-10000</v>
      </c>
      <c r="U22" s="48">
        <f t="shared" si="7"/>
        <v>0</v>
      </c>
    </row>
    <row r="23" spans="1:26">
      <c r="A23" t="s">
        <v>357</v>
      </c>
      <c r="B23" s="48">
        <f t="shared" si="0"/>
        <v>72654</v>
      </c>
      <c r="C23" s="48">
        <f t="shared" ref="C23:I23" si="8">IF(AND(VALUE(C15)=0,VALUE(C16)=0),VALUE($B15),VALUE(C15))</f>
        <v>72654</v>
      </c>
      <c r="D23" s="48">
        <f t="shared" si="8"/>
        <v>-13169</v>
      </c>
      <c r="E23" s="48">
        <f t="shared" si="8"/>
        <v>-117194</v>
      </c>
      <c r="F23" s="48">
        <f t="shared" si="8"/>
        <v>-118033</v>
      </c>
      <c r="G23" s="48">
        <f t="shared" si="8"/>
        <v>-118033</v>
      </c>
      <c r="H23" s="48">
        <f t="shared" si="8"/>
        <v>55661</v>
      </c>
      <c r="I23" s="48">
        <f t="shared" si="8"/>
        <v>65242</v>
      </c>
      <c r="J23" s="48"/>
      <c r="L23" t="s">
        <v>357</v>
      </c>
      <c r="M23" s="48">
        <f t="shared" si="2"/>
        <v>196263</v>
      </c>
      <c r="N23" s="48">
        <f t="shared" ref="N23:T23" si="9">IF(AND(VALUE(N15)=0,VALUE(N16)=0),VALUE($M15),VALUE(N15))</f>
        <v>24602</v>
      </c>
      <c r="O23" s="48">
        <f t="shared" si="9"/>
        <v>-250593</v>
      </c>
      <c r="P23" s="48">
        <f t="shared" si="9"/>
        <v>-250593</v>
      </c>
      <c r="Q23" s="48">
        <f t="shared" si="9"/>
        <v>-205333</v>
      </c>
      <c r="R23" s="48">
        <f t="shared" si="9"/>
        <v>90267</v>
      </c>
      <c r="S23" s="48">
        <f t="shared" si="9"/>
        <v>196263</v>
      </c>
      <c r="T23" s="48">
        <f t="shared" si="9"/>
        <v>196263</v>
      </c>
      <c r="U23" s="48"/>
    </row>
    <row r="24" spans="1:26">
      <c r="B24" s="48">
        <f t="shared" si="0"/>
        <v>0</v>
      </c>
      <c r="C24" s="48">
        <f t="shared" ref="C24:I24" si="10">IF(AND(VALUE(C16)=0,VALUE(C15)=0),VALUE($B16),VALUE(C16))</f>
        <v>-5000</v>
      </c>
      <c r="D24" s="48">
        <f t="shared" si="10"/>
        <v>-5000</v>
      </c>
      <c r="E24" s="48">
        <f t="shared" si="10"/>
        <v>-519</v>
      </c>
      <c r="F24" s="48">
        <f t="shared" si="10"/>
        <v>0</v>
      </c>
      <c r="G24" s="48">
        <f t="shared" si="10"/>
        <v>5000</v>
      </c>
      <c r="H24" s="48">
        <f t="shared" si="10"/>
        <v>5000</v>
      </c>
      <c r="I24" s="48">
        <f t="shared" si="10"/>
        <v>4587</v>
      </c>
      <c r="J24" s="48"/>
      <c r="M24" s="48">
        <f t="shared" si="2"/>
        <v>0</v>
      </c>
      <c r="N24" s="48">
        <f t="shared" ref="N24:T24" si="11">IF(AND(VALUE(N16)=0,VALUE(N15)=0),VALUE($M16),VALUE(N16))</f>
        <v>10000</v>
      </c>
      <c r="O24" s="48">
        <f t="shared" si="11"/>
        <v>10000</v>
      </c>
      <c r="P24" s="48">
        <f t="shared" si="11"/>
        <v>0</v>
      </c>
      <c r="Q24" s="48">
        <f t="shared" si="11"/>
        <v>-10000</v>
      </c>
      <c r="R24" s="48">
        <f t="shared" si="11"/>
        <v>-10000</v>
      </c>
      <c r="S24" s="48">
        <f t="shared" si="11"/>
        <v>-7451</v>
      </c>
      <c r="T24" s="48">
        <f t="shared" si="11"/>
        <v>0</v>
      </c>
      <c r="U24" s="48"/>
      <c r="Y24" s="49" t="s">
        <v>401</v>
      </c>
      <c r="Z24" s="49" t="s">
        <v>352</v>
      </c>
    </row>
    <row r="25" spans="1:26">
      <c r="Y25" s="49" t="s">
        <v>402</v>
      </c>
      <c r="Z25" s="49" t="s">
        <v>353</v>
      </c>
    </row>
    <row r="26" spans="1:26">
      <c r="Y26" s="49" t="s">
        <v>403</v>
      </c>
      <c r="Z26" s="49" t="s">
        <v>353</v>
      </c>
    </row>
    <row r="27" spans="1:26">
      <c r="Y27" s="49" t="s">
        <v>403</v>
      </c>
      <c r="Z27" s="49" t="s">
        <v>354</v>
      </c>
    </row>
    <row r="28" spans="1:26">
      <c r="Y28" s="49" t="s">
        <v>401</v>
      </c>
      <c r="Z28" s="49" t="s">
        <v>354</v>
      </c>
    </row>
    <row r="33" spans="21:30">
      <c r="U33">
        <v>140331</v>
      </c>
      <c r="V33">
        <v>97052</v>
      </c>
      <c r="W33">
        <v>0</v>
      </c>
      <c r="X33">
        <v>-99800</v>
      </c>
      <c r="Y33">
        <v>-250593</v>
      </c>
      <c r="Z33">
        <v>-250593</v>
      </c>
      <c r="AA33">
        <v>-216996</v>
      </c>
      <c r="AB33">
        <v>33459</v>
      </c>
      <c r="AC33">
        <v>140331</v>
      </c>
      <c r="AD33">
        <v>140331</v>
      </c>
    </row>
    <row r="34" spans="21:30">
      <c r="U34">
        <v>0</v>
      </c>
      <c r="V34">
        <v>3790</v>
      </c>
      <c r="W34">
        <v>5993</v>
      </c>
      <c r="X34">
        <v>7500</v>
      </c>
      <c r="Y34">
        <v>7500</v>
      </c>
      <c r="Z34">
        <v>0</v>
      </c>
      <c r="AA34">
        <v>-7500</v>
      </c>
      <c r="AB34">
        <v>-7500</v>
      </c>
      <c r="AC34">
        <v>-5328</v>
      </c>
      <c r="AD34">
        <v>0</v>
      </c>
    </row>
    <row r="35" spans="21:30">
      <c r="U35">
        <v>140331</v>
      </c>
      <c r="V35">
        <v>97052</v>
      </c>
      <c r="W35">
        <v>0</v>
      </c>
      <c r="X35">
        <v>-99800</v>
      </c>
      <c r="Y35">
        <v>-250593</v>
      </c>
      <c r="Z35">
        <v>-250593</v>
      </c>
      <c r="AA35">
        <v>-234896</v>
      </c>
      <c r="AB35">
        <v>-26785</v>
      </c>
      <c r="AC35">
        <v>140331</v>
      </c>
      <c r="AD35">
        <v>140331</v>
      </c>
    </row>
    <row r="36" spans="21:30">
      <c r="U36">
        <v>0</v>
      </c>
      <c r="V36">
        <v>3790</v>
      </c>
      <c r="W36">
        <v>5993</v>
      </c>
      <c r="X36">
        <v>7500</v>
      </c>
      <c r="Y36">
        <v>7500</v>
      </c>
      <c r="Z36">
        <v>0</v>
      </c>
      <c r="AA36">
        <v>-919</v>
      </c>
      <c r="AB36">
        <v>-7500</v>
      </c>
      <c r="AC36">
        <v>-7500</v>
      </c>
      <c r="AD36">
        <v>0</v>
      </c>
    </row>
    <row r="37" spans="21:30">
      <c r="U37">
        <v>140331</v>
      </c>
      <c r="V37">
        <v>11585</v>
      </c>
      <c r="W37">
        <v>-250593</v>
      </c>
      <c r="X37">
        <v>-250593</v>
      </c>
      <c r="Y37">
        <v>-216996</v>
      </c>
      <c r="Z37">
        <v>33459</v>
      </c>
      <c r="AA37">
        <v>140331</v>
      </c>
      <c r="AB37">
        <v>140331</v>
      </c>
    </row>
    <row r="38" spans="21:30">
      <c r="U38">
        <v>0</v>
      </c>
      <c r="V38">
        <v>7500</v>
      </c>
      <c r="W38">
        <v>7500</v>
      </c>
      <c r="X38">
        <v>0</v>
      </c>
      <c r="Y38">
        <v>-7500</v>
      </c>
      <c r="Z38">
        <v>-7500</v>
      </c>
      <c r="AA38">
        <v>-5328</v>
      </c>
      <c r="AB38">
        <v>0</v>
      </c>
    </row>
    <row r="40" spans="21:30">
      <c r="U40" t="s">
        <v>355</v>
      </c>
      <c r="W40" t="s">
        <v>356</v>
      </c>
      <c r="Y40" t="s">
        <v>357</v>
      </c>
    </row>
    <row r="41" spans="21:30">
      <c r="U41" t="s">
        <v>480</v>
      </c>
      <c r="V41" t="s">
        <v>481</v>
      </c>
      <c r="W41" t="s">
        <v>480</v>
      </c>
      <c r="X41" t="s">
        <v>481</v>
      </c>
      <c r="Y41" t="s">
        <v>480</v>
      </c>
      <c r="Z41" t="s">
        <v>481</v>
      </c>
    </row>
    <row r="42" spans="21:30">
      <c r="U42">
        <v>140331</v>
      </c>
      <c r="V42">
        <v>0</v>
      </c>
      <c r="W42">
        <v>140331</v>
      </c>
      <c r="X42">
        <v>0</v>
      </c>
      <c r="Y42">
        <v>140331</v>
      </c>
      <c r="Z42">
        <v>0</v>
      </c>
    </row>
    <row r="43" spans="21:30">
      <c r="U43">
        <v>97052</v>
      </c>
      <c r="V43">
        <v>3790</v>
      </c>
      <c r="W43">
        <v>97052</v>
      </c>
      <c r="X43">
        <v>3790</v>
      </c>
      <c r="Y43">
        <v>11585</v>
      </c>
      <c r="Z43">
        <v>7500</v>
      </c>
    </row>
    <row r="44" spans="21:30">
      <c r="U44">
        <v>0</v>
      </c>
      <c r="V44">
        <v>5993</v>
      </c>
      <c r="W44">
        <v>0</v>
      </c>
      <c r="X44">
        <v>5993</v>
      </c>
      <c r="Y44">
        <v>-250593</v>
      </c>
      <c r="Z44">
        <v>7500</v>
      </c>
    </row>
    <row r="45" spans="21:30">
      <c r="U45">
        <v>-99800</v>
      </c>
      <c r="V45">
        <v>7500</v>
      </c>
      <c r="W45">
        <v>-99800</v>
      </c>
      <c r="X45">
        <v>7500</v>
      </c>
      <c r="Y45">
        <v>-250593</v>
      </c>
      <c r="Z45">
        <v>0</v>
      </c>
    </row>
    <row r="46" spans="21:30">
      <c r="U46">
        <v>-250593</v>
      </c>
      <c r="V46">
        <v>7500</v>
      </c>
      <c r="W46">
        <v>-250593</v>
      </c>
      <c r="X46">
        <v>7500</v>
      </c>
      <c r="Y46">
        <v>-216996</v>
      </c>
      <c r="Z46">
        <v>-7500</v>
      </c>
    </row>
    <row r="47" spans="21:30">
      <c r="U47">
        <v>-250593</v>
      </c>
      <c r="V47">
        <v>0</v>
      </c>
      <c r="W47">
        <v>-250593</v>
      </c>
      <c r="X47">
        <v>0</v>
      </c>
      <c r="Y47">
        <v>33459</v>
      </c>
      <c r="Z47">
        <v>-7500</v>
      </c>
    </row>
    <row r="48" spans="21:30">
      <c r="U48">
        <v>-216996</v>
      </c>
      <c r="V48">
        <v>-7500</v>
      </c>
      <c r="W48">
        <v>-234896</v>
      </c>
      <c r="X48">
        <v>-919</v>
      </c>
      <c r="Y48">
        <v>140331</v>
      </c>
      <c r="Z48">
        <v>-5328</v>
      </c>
    </row>
    <row r="49" spans="21:26">
      <c r="U49">
        <v>33459</v>
      </c>
      <c r="V49">
        <v>-7500</v>
      </c>
      <c r="W49">
        <v>-26785</v>
      </c>
      <c r="X49">
        <v>-7500</v>
      </c>
      <c r="Y49">
        <v>140331</v>
      </c>
      <c r="Z49">
        <v>0</v>
      </c>
    </row>
    <row r="50" spans="21:26">
      <c r="U50">
        <v>140331</v>
      </c>
      <c r="V50">
        <v>-5328</v>
      </c>
      <c r="W50">
        <v>140331</v>
      </c>
      <c r="X50">
        <v>-7500</v>
      </c>
    </row>
    <row r="51" spans="21:26">
      <c r="U51">
        <v>140331</v>
      </c>
      <c r="V51">
        <v>0</v>
      </c>
      <c r="W51">
        <v>140331</v>
      </c>
      <c r="X51">
        <v>0</v>
      </c>
    </row>
  </sheetData>
  <dataConsolidate link="1"/>
  <phoneticPr fontId="2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b_Plot">
                <anchor moveWithCells="1" sizeWithCells="1">
                  <from>
                    <xdr:col>11</xdr:col>
                    <xdr:colOff>457200</xdr:colOff>
                    <xdr:row>2</xdr:row>
                    <xdr:rowOff>0</xdr:rowOff>
                  </from>
                  <to>
                    <xdr:col>13</xdr:col>
                    <xdr:colOff>279400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M52"/>
  <sheetViews>
    <sheetView topLeftCell="A9" zoomScale="159" zoomScaleNormal="70" workbookViewId="0">
      <selection activeCell="B11" sqref="B11"/>
    </sheetView>
  </sheetViews>
  <sheetFormatPr baseColWidth="10" defaultColWidth="8.83203125" defaultRowHeight="14"/>
  <cols>
    <col min="1" max="1" width="62.83203125" customWidth="1"/>
    <col min="2" max="2" width="58.1640625" hidden="1" customWidth="1"/>
    <col min="3" max="3" width="118.1640625" style="31" hidden="1" customWidth="1"/>
    <col min="4" max="4" width="86.33203125" hidden="1" customWidth="1"/>
    <col min="5" max="5" width="36.6640625" hidden="1" customWidth="1"/>
    <col min="6" max="6" width="32.1640625" customWidth="1"/>
    <col min="7" max="7" width="25.33203125" style="31" bestFit="1" customWidth="1"/>
    <col min="8" max="8" width="85.1640625" bestFit="1" customWidth="1"/>
    <col min="9" max="9" width="23" customWidth="1"/>
    <col min="10" max="10" width="26.5" bestFit="1" customWidth="1"/>
    <col min="11" max="11" width="20.1640625" bestFit="1" customWidth="1"/>
    <col min="14" max="14" width="11" customWidth="1"/>
  </cols>
  <sheetData>
    <row r="1" spans="1:13" ht="15" thickBot="1">
      <c r="A1" s="5" t="s">
        <v>34</v>
      </c>
      <c r="B1" s="1" t="s">
        <v>267</v>
      </c>
      <c r="C1" s="30" t="s">
        <v>33</v>
      </c>
      <c r="D1" s="1" t="s">
        <v>45</v>
      </c>
      <c r="E1" s="5" t="s">
        <v>47</v>
      </c>
      <c r="F1" s="5" t="s">
        <v>46</v>
      </c>
      <c r="G1" s="30" t="s">
        <v>58</v>
      </c>
      <c r="H1" s="5" t="s">
        <v>35</v>
      </c>
      <c r="I1" s="5" t="s">
        <v>61</v>
      </c>
      <c r="J1" s="10" t="s">
        <v>48</v>
      </c>
      <c r="K1" s="13" t="s">
        <v>56</v>
      </c>
    </row>
    <row r="2" spans="1:13" ht="16" thickTop="1" thickBot="1">
      <c r="A2" s="23" t="s">
        <v>0</v>
      </c>
      <c r="B2" s="24" t="str">
        <f>SUBSTITUTE(SUBSTITUTE(SUBSTITUTE(Table2[[#This Row],[Standard Attributes List]]," ",""),".",""),"-","")</f>
        <v>ACTIVEFLOWWETTEDMATERIALYIELDSTRENGTH(KSI)</v>
      </c>
      <c r="C2" s="39" t="s">
        <v>64</v>
      </c>
      <c r="D2" s="25" t="str">
        <f>SUBSTITUTE(SUBSTITUTE(SUBSTITUTE(LEFT(Table2[[#This Row],[Reference]],FIND("=",Table2[[#This Row],[Reference]])-2)," ",""),".",""),"-","")</f>
        <v>ACTIVEFLOWWETTEDMATERIALYIELDSTRENGTH(KSI)</v>
      </c>
      <c r="E2" s="25" t="str">
        <f>TRIM(RIGHT(Table2[[#This Row],[Reference]],LEN(Table2[[#This Row],[Reference]])-FIND("=",Table2[[#This Row],[Reference]])-1))</f>
        <v>13CR[80]</v>
      </c>
      <c r="F2" s="25" t="str">
        <f>VLOOKUP(Table2[[#This Row],[stripped attributes]],D:E,2,FALSE)</f>
        <v>13CR[80]</v>
      </c>
      <c r="G2" s="22"/>
      <c r="H2" s="26" t="str">
        <f>CONCATENATE(Table2[[#This Row],[Standard Attributes List]]," = ",IF(Table2[[#This Row],[Overwrite Value]]="",Table2[[#This Row],[Ref. Value]],Table2[[#This Row],[Overwrite Value]]))</f>
        <v>ACTIVE FLOW WETTED MATERIAL - YIELD STRENGTH (KSI) = 13CR[80]</v>
      </c>
      <c r="I2" s="27" t="str">
        <f>IF(Table2[[#This Row],[Reference]]=Table2[[#This Row],[Output]],"OK","NG")</f>
        <v>OK</v>
      </c>
      <c r="J2" s="28" t="str">
        <f>RIGHT(Table2[[#This Row],[Output]],LEN(Table2[[#This Row],[Output]])-FIND("=",Table2[[#This Row],[Output]])-1)</f>
        <v>13CR[80]</v>
      </c>
      <c r="K2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" s="39" t="s">
        <v>64</v>
      </c>
    </row>
    <row r="3" spans="1:13" ht="16" thickTop="1" thickBot="1">
      <c r="A3" s="23" t="s">
        <v>1</v>
      </c>
      <c r="B3" s="24" t="str">
        <f>SUBSTITUTE(SUBSTITUTE(SUBSTITUTE(Table2[[#This Row],[Standard Attributes List]]," ",""),".",""),"-","")</f>
        <v>APPROXIMATEWEIGHT(LBS)</v>
      </c>
      <c r="C3" s="39" t="s">
        <v>65</v>
      </c>
      <c r="D3" s="25" t="str">
        <f>SUBSTITUTE(SUBSTITUTE(SUBSTITUTE(LEFT(Table2[[#This Row],[Reference]],FIND("=",Table2[[#This Row],[Reference]])-2)," ",""),".",""),"-","")</f>
        <v>APPROXIMATEWEIGHT(LBS)</v>
      </c>
      <c r="E3" s="25" t="str">
        <f>TRIM(RIGHT(Table2[[#This Row],[Reference]],LEN(Table2[[#This Row],[Reference]])-FIND("=",Table2[[#This Row],[Reference]])-1))</f>
        <v>390</v>
      </c>
      <c r="F3" s="25" t="str">
        <f>VLOOKUP(Table2[[#This Row],[stripped attributes]],D:E,2,FALSE)</f>
        <v>390</v>
      </c>
      <c r="G3" s="22"/>
      <c r="H3" s="26" t="str">
        <f>CONCATENATE(Table2[[#This Row],[Standard Attributes List]]," = ",IF(Table2[[#This Row],[Overwrite Value]]="",Table2[[#This Row],[Ref. Value]],Table2[[#This Row],[Overwrite Value]]))</f>
        <v>APPROXIMATE WEIGHT (LBS) = 390</v>
      </c>
      <c r="I3" s="27" t="str">
        <f>IF(Table2[[#This Row],[Reference]]=Table2[[#This Row],[Output]],"OK","NG")</f>
        <v>OK</v>
      </c>
      <c r="J3" s="28" t="str">
        <f>RIGHT(Table2[[#This Row],[Output]],LEN(Table2[[#This Row],[Output]])-FIND("=",Table2[[#This Row],[Output]])-1)</f>
        <v>390</v>
      </c>
      <c r="K3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" s="39" t="s">
        <v>65</v>
      </c>
    </row>
    <row r="4" spans="1:13" ht="16" thickTop="1" thickBot="1">
      <c r="A4" s="23" t="s">
        <v>15</v>
      </c>
      <c r="B4" s="24" t="str">
        <f>SUBSTITUTE(SUBSTITUTE(SUBSTITUTE(Table2[[#This Row],[Standard Attributes List]]," ",""),".",""),"-","")</f>
        <v>CASINGSIZE(IN)</v>
      </c>
      <c r="C4" s="39" t="s">
        <v>66</v>
      </c>
      <c r="D4" s="25" t="str">
        <f>SUBSTITUTE(SUBSTITUTE(SUBSTITUTE(LEFT(Table2[[#This Row],[Reference]],FIND("=",Table2[[#This Row],[Reference]])-2)," ",""),".",""),"-","")</f>
        <v>CASINGSIZE(IN)</v>
      </c>
      <c r="E4" s="25" t="str">
        <f>TRIM(RIGHT(Table2[[#This Row],[Reference]],LEN(Table2[[#This Row],[Reference]])-FIND("=",Table2[[#This Row],[Reference]])-1))</f>
        <v>7</v>
      </c>
      <c r="F4" s="25" t="str">
        <f>VLOOKUP(Table2[[#This Row],[stripped attributes]],D:E,2,FALSE)</f>
        <v>7</v>
      </c>
      <c r="G4" s="22"/>
      <c r="H4" s="26" t="str">
        <f>CONCATENATE(Table2[[#This Row],[Standard Attributes List]]," = ",IF(Table2[[#This Row],[Overwrite Value]]="",Table2[[#This Row],[Ref. Value]],Table2[[#This Row],[Overwrite Value]]))</f>
        <v>CASING SIZE (IN) = 7</v>
      </c>
      <c r="I4" s="27" t="str">
        <f>IF(Table2[[#This Row],[Reference]]=Table2[[#This Row],[Output]],"OK","NG")</f>
        <v>OK</v>
      </c>
      <c r="J4" s="28" t="str">
        <f>RIGHT(Table2[[#This Row],[Output]],LEN(Table2[[#This Row],[Output]])-FIND("=",Table2[[#This Row],[Output]])-1)</f>
        <v>7</v>
      </c>
      <c r="K4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" s="39" t="s">
        <v>66</v>
      </c>
    </row>
    <row r="5" spans="1:13" ht="16" thickTop="1" thickBot="1">
      <c r="A5" s="23" t="s">
        <v>16</v>
      </c>
      <c r="B5" s="24" t="str">
        <f>SUBSTITUTE(SUBSTITUTE(SUBSTITUTE(Table2[[#This Row],[Standard Attributes List]]," ",""),".",""),"-","")</f>
        <v>CASINGWEIGHTRANGE(PPF)</v>
      </c>
      <c r="C5" s="39" t="s">
        <v>67</v>
      </c>
      <c r="D5" s="25" t="str">
        <f>SUBSTITUTE(SUBSTITUTE(SUBSTITUTE(LEFT(Table2[[#This Row],[Reference]],FIND("=",Table2[[#This Row],[Reference]])-2)," ",""),".",""),"-","")</f>
        <v>CASINGWEIGHTRANGE(PPF)</v>
      </c>
      <c r="E5" s="25" t="str">
        <f>TRIM(RIGHT(Table2[[#This Row],[Reference]],LEN(Table2[[#This Row],[Reference]])-FIND("=",Table2[[#This Row],[Reference]])-1))</f>
        <v>32-35</v>
      </c>
      <c r="F5" s="25" t="str">
        <f>VLOOKUP(Table2[[#This Row],[stripped attributes]],D:E,2,FALSE)</f>
        <v>32-35</v>
      </c>
      <c r="G5" s="22"/>
      <c r="H5" s="26" t="str">
        <f>CONCATENATE(Table2[[#This Row],[Standard Attributes List]]," = ",IF(Table2[[#This Row],[Overwrite Value]]="",Table2[[#This Row],[Ref. Value]],Table2[[#This Row],[Overwrite Value]]))</f>
        <v>CASING WEIGHT RANGE (PPF) = 32-35</v>
      </c>
      <c r="I5" s="27" t="str">
        <f>IF(Table2[[#This Row],[Reference]]=Table2[[#This Row],[Output]],"OK","NG")</f>
        <v>OK</v>
      </c>
      <c r="J5" s="28" t="str">
        <f>RIGHT(Table2[[#This Row],[Output]],LEN(Table2[[#This Row],[Output]])-FIND("=",Table2[[#This Row],[Output]])-1)</f>
        <v>32-35</v>
      </c>
      <c r="K5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5" s="39" t="s">
        <v>67</v>
      </c>
    </row>
    <row r="6" spans="1:13" ht="16" thickTop="1" thickBot="1">
      <c r="A6" s="23" t="s">
        <v>17</v>
      </c>
      <c r="B6" s="24" t="str">
        <f>SUBSTITUTE(SUBSTITUTE(SUBSTITUTE(Table2[[#This Row],[Standard Attributes List]]," ",""),".",""),"-","")</f>
        <v>CERTIFICATIONSTATUS</v>
      </c>
      <c r="C6" s="39" t="s">
        <v>68</v>
      </c>
      <c r="D6" s="25" t="str">
        <f>SUBSTITUTE(SUBSTITUTE(SUBSTITUTE(LEFT(Table2[[#This Row],[Reference]],FIND("=",Table2[[#This Row],[Reference]])-2)," ",""),".",""),"-","")</f>
        <v>CERTIFICATIONSTATUS</v>
      </c>
      <c r="E6" s="25" t="str">
        <f>TRIM(RIGHT(Table2[[#This Row],[Reference]],LEN(Table2[[#This Row],[Reference]])-FIND("=",Table2[[#This Row],[Reference]])-1))</f>
        <v>ISO-V0[38-250F, 150-325F]</v>
      </c>
      <c r="F6" s="25" t="str">
        <f>VLOOKUP(Table2[[#This Row],[stripped attributes]],D:E,2,FALSE)</f>
        <v>ISO-V0[38-250F, 150-325F]</v>
      </c>
      <c r="G6" s="22"/>
      <c r="H6" s="26" t="str">
        <f>CONCATENATE(Table2[[#This Row],[Standard Attributes List]]," = ",IF(Table2[[#This Row],[Overwrite Value]]="",Table2[[#This Row],[Ref. Value]],Table2[[#This Row],[Overwrite Value]]))</f>
        <v>CERTIFICATION STATUS = ISO-V0[38-250F, 150-325F]</v>
      </c>
      <c r="I6" s="27" t="str">
        <f>IF(Table2[[#This Row],[Reference]]=Table2[[#This Row],[Output]],"OK","NG")</f>
        <v>OK</v>
      </c>
      <c r="J6" s="28" t="str">
        <f>RIGHT(Table2[[#This Row],[Output]],LEN(Table2[[#This Row],[Output]])-FIND("=",Table2[[#This Row],[Output]])-1)</f>
        <v>ISO-V0[38-250F, 150-325F]</v>
      </c>
      <c r="K6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6" s="39" t="s">
        <v>268</v>
      </c>
    </row>
    <row r="7" spans="1:13" ht="16" thickTop="1" thickBot="1">
      <c r="A7" s="23" t="s">
        <v>36</v>
      </c>
      <c r="B7" s="24" t="str">
        <f>SUBSTITUTE(SUBSTITUTE(SUBSTITUTE(Table2[[#This Row],[Standard Attributes List]]," ",""),".",""),"-","")</f>
        <v>CONVEYANCEMETHOD</v>
      </c>
      <c r="C7" s="39" t="s">
        <v>69</v>
      </c>
      <c r="D7" s="25" t="str">
        <f>SUBSTITUTE(SUBSTITUTE(SUBSTITUTE(LEFT(Table2[[#This Row],[Reference]],FIND("=",Table2[[#This Row],[Reference]])-2)," ",""),".",""),"-","")</f>
        <v>CONVEYANCEMETHOD</v>
      </c>
      <c r="E7" s="25" t="str">
        <f>TRIM(RIGHT(Table2[[#This Row],[Reference]],LEN(Table2[[#This Row],[Reference]])-FIND("=",Table2[[#This Row],[Reference]])-1))</f>
        <v>TUBING</v>
      </c>
      <c r="F7" s="25" t="str">
        <f>VLOOKUP(Table2[[#This Row],[stripped attributes]],D:E,2,FALSE)</f>
        <v>TUBING</v>
      </c>
      <c r="G7" s="22"/>
      <c r="H7" s="26" t="str">
        <f>CONCATENATE(Table2[[#This Row],[Standard Attributes List]]," = ",IF(Table2[[#This Row],[Overwrite Value]]="",Table2[[#This Row],[Ref. Value]],Table2[[#This Row],[Overwrite Value]]))</f>
        <v>CONVEYANCE METHOD = TUBING</v>
      </c>
      <c r="I7" s="27" t="str">
        <f>IF(Table2[[#This Row],[Reference]]=Table2[[#This Row],[Output]],"OK","NG")</f>
        <v>OK</v>
      </c>
      <c r="J7" s="28" t="str">
        <f>RIGHT(Table2[[#This Row],[Output]],LEN(Table2[[#This Row],[Output]])-FIND("=",Table2[[#This Row],[Output]])-1)</f>
        <v>TUBING</v>
      </c>
      <c r="K7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7" s="39" t="s">
        <v>280</v>
      </c>
    </row>
    <row r="8" spans="1:13" ht="16" thickTop="1" thickBot="1">
      <c r="A8" s="23" t="s">
        <v>18</v>
      </c>
      <c r="B8" s="24" t="str">
        <f>SUBSTITUTE(SUBSTITUTE(SUBSTITUTE(Table2[[#This Row],[Standard Attributes List]]," ",""),".",""),"-","")</f>
        <v>DIFFERENTIALPRESSURERATING(PSI)</v>
      </c>
      <c r="C8" s="39" t="s">
        <v>70</v>
      </c>
      <c r="D8" s="25" t="str">
        <f>SUBSTITUTE(SUBSTITUTE(SUBSTITUTE(LEFT(Table2[[#This Row],[Reference]],FIND("=",Table2[[#This Row],[Reference]])-2)," ",""),".",""),"-","")</f>
        <v>DIFFERENTIALPRESSURERATING(PSI)</v>
      </c>
      <c r="E8" s="25" t="str">
        <f>TRIM(RIGHT(Table2[[#This Row],[Reference]],LEN(Table2[[#This Row],[Reference]])-FIND("=",Table2[[#This Row],[Reference]])-1))</f>
        <v>10000</v>
      </c>
      <c r="F8" s="25" t="str">
        <f>VLOOKUP(Table2[[#This Row],[stripped attributes]],D:E,2,FALSE)</f>
        <v>10000</v>
      </c>
      <c r="G8" s="22"/>
      <c r="H8" s="26" t="str">
        <f>CONCATENATE(Table2[[#This Row],[Standard Attributes List]]," = ",IF(Table2[[#This Row],[Overwrite Value]]="",Table2[[#This Row],[Ref. Value]],Table2[[#This Row],[Overwrite Value]]))</f>
        <v>DIFFERENTIAL PRESSURE RATING (PSI) = 10000</v>
      </c>
      <c r="I8" s="27" t="str">
        <f>IF(Table2[[#This Row],[Reference]]=Table2[[#This Row],[Output]],"OK","NG")</f>
        <v>OK</v>
      </c>
      <c r="J8" s="28" t="str">
        <f>RIGHT(Table2[[#This Row],[Output]],LEN(Table2[[#This Row],[Output]])-FIND("=",Table2[[#This Row],[Output]])-1)</f>
        <v>10000</v>
      </c>
      <c r="K8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8" s="39" t="s">
        <v>69</v>
      </c>
    </row>
    <row r="9" spans="1:13" ht="16" thickTop="1" thickBot="1">
      <c r="A9" s="29" t="s">
        <v>19</v>
      </c>
      <c r="B9" s="24" t="str">
        <f>SUBSTITUTE(SUBSTITUTE(SUBSTITUTE(Table2[[#This Row],[Standard Attributes List]]," ",""),".",""),"-","")</f>
        <v>DIFFERENTIALRATINGISOLATED(PSI)</v>
      </c>
      <c r="C9" s="39" t="s">
        <v>71</v>
      </c>
      <c r="D9" s="25" t="str">
        <f>SUBSTITUTE(SUBSTITUTE(SUBSTITUTE(LEFT(Table2[[#This Row],[Reference]],FIND("=",Table2[[#This Row],[Reference]])-2)," ",""),".",""),"-","")</f>
        <v>DIFFERENTIALRATINGISOLATED(PSI)</v>
      </c>
      <c r="E9" s="25" t="str">
        <f>TRIM(RIGHT(Table2[[#This Row],[Reference]],LEN(Table2[[#This Row],[Reference]])-FIND("=",Table2[[#This Row],[Reference]])-1))</f>
        <v>7500</v>
      </c>
      <c r="F9" s="25" t="str">
        <f>VLOOKUP(Table2[[#This Row],[stripped attributes]],D:E,2,FALSE)</f>
        <v>7500</v>
      </c>
      <c r="G9" s="22"/>
      <c r="H9" s="26" t="str">
        <f>CONCATENATE(Table2[[#This Row],[Standard Attributes List]]," = ",IF(Table2[[#This Row],[Overwrite Value]]="",Table2[[#This Row],[Ref. Value]],Table2[[#This Row],[Overwrite Value]]))</f>
        <v>DIFFERENTIAL RATING ISOLATED (PSI) = 7500</v>
      </c>
      <c r="I9" s="27" t="str">
        <f>IF(Table2[[#This Row],[Reference]]=Table2[[#This Row],[Output]],"OK","NG")</f>
        <v>OK</v>
      </c>
      <c r="J9" s="28" t="str">
        <f>RIGHT(Table2[[#This Row],[Output]],LEN(Table2[[#This Row],[Output]])-FIND("=",Table2[[#This Row],[Output]])-1)</f>
        <v>7500</v>
      </c>
      <c r="K9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9" s="39" t="s">
        <v>70</v>
      </c>
    </row>
    <row r="10" spans="1:13" ht="16" thickTop="1" thickBot="1">
      <c r="A10" s="29" t="s">
        <v>20</v>
      </c>
      <c r="B10" s="24" t="str">
        <f>SUBSTITUTE(SUBSTITUTE(SUBSTITUTE(Table2[[#This Row],[Standard Attributes List]]," ",""),".",""),"-","")</f>
        <v>DIFFERENTIALRATINGPLUGGED(PSI)</v>
      </c>
      <c r="C10" s="39" t="s">
        <v>72</v>
      </c>
      <c r="D10" s="25" t="str">
        <f>SUBSTITUTE(SUBSTITUTE(SUBSTITUTE(LEFT(Table2[[#This Row],[Reference]],FIND("=",Table2[[#This Row],[Reference]])-2)," ",""),".",""),"-","")</f>
        <v>DIFFERENTIALRATINGPLUGGED(PSI)</v>
      </c>
      <c r="E10" s="25" t="str">
        <f>TRIM(RIGHT(Table2[[#This Row],[Reference]],LEN(Table2[[#This Row],[Reference]])-FIND("=",Table2[[#This Row],[Reference]])-1))</f>
        <v>7500</v>
      </c>
      <c r="F10" s="25" t="str">
        <f>VLOOKUP(Table2[[#This Row],[stripped attributes]],D:E,2,FALSE)</f>
        <v>7500</v>
      </c>
      <c r="G10" s="22"/>
      <c r="H10" s="26" t="str">
        <f>CONCATENATE(Table2[[#This Row],[Standard Attributes List]]," = ",IF(Table2[[#This Row],[Overwrite Value]]="",Table2[[#This Row],[Ref. Value]],Table2[[#This Row],[Overwrite Value]]))</f>
        <v>DIFFERENTIAL RATING PLUGGED (PSI) = 7500</v>
      </c>
      <c r="I10" s="27" t="str">
        <f>IF(Table2[[#This Row],[Reference]]=Table2[[#This Row],[Output]],"OK","NG")</f>
        <v>OK</v>
      </c>
      <c r="J10" s="28" t="str">
        <f>RIGHT(Table2[[#This Row],[Output]],LEN(Table2[[#This Row],[Output]])-FIND("=",Table2[[#This Row],[Output]])-1)</f>
        <v>7500</v>
      </c>
      <c r="K10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0" s="39" t="s">
        <v>71</v>
      </c>
    </row>
    <row r="11" spans="1:13" ht="16" thickTop="1" thickBot="1">
      <c r="A11" s="29" t="s">
        <v>37</v>
      </c>
      <c r="B11" s="24" t="str">
        <f>SUBSTITUTE(SUBSTITUTE(SUBSTITUTE(Table2[[#This Row],[Standard Attributes List]]," ",""),".",""),"-","")</f>
        <v>DIFFERENTIALRATINGUNPLUGGED(PSI)</v>
      </c>
      <c r="C11" s="39" t="s">
        <v>73</v>
      </c>
      <c r="D11" s="25" t="str">
        <f>SUBSTITUTE(SUBSTITUTE(SUBSTITUTE(LEFT(Table2[[#This Row],[Reference]],FIND("=",Table2[[#This Row],[Reference]])-2)," ",""),".",""),"-","")</f>
        <v>DIFFERENTIALRATINGUNPLUGGED(PSI)</v>
      </c>
      <c r="E11" s="25" t="str">
        <f>TRIM(RIGHT(Table2[[#This Row],[Reference]],LEN(Table2[[#This Row],[Reference]])-FIND("=",Table2[[#This Row],[Reference]])-1))</f>
        <v>10000</v>
      </c>
      <c r="F11" s="25" t="str">
        <f>VLOOKUP(Table2[[#This Row],[stripped attributes]],D:E,2,FALSE)</f>
        <v>10000</v>
      </c>
      <c r="G11" s="37"/>
      <c r="H11" s="26" t="str">
        <f>CONCATENATE(Table2[[#This Row],[Standard Attributes List]]," = ",IF(Table2[[#This Row],[Overwrite Value]]="",Table2[[#This Row],[Ref. Value]],Table2[[#This Row],[Overwrite Value]]))</f>
        <v>DIFFERENTIAL RATING UNPLUGGED (PSI) = 10000</v>
      </c>
      <c r="I11" s="27" t="str">
        <f>IF(Table2[[#This Row],[Reference]]=Table2[[#This Row],[Output]],"OK","NG")</f>
        <v>OK</v>
      </c>
      <c r="J11" s="28" t="str">
        <f>RIGHT(Table2[[#This Row],[Output]],LEN(Table2[[#This Row],[Output]])-FIND("=",Table2[[#This Row],[Output]])-1)</f>
        <v>10000</v>
      </c>
      <c r="K11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1" s="39" t="s">
        <v>72</v>
      </c>
    </row>
    <row r="12" spans="1:13" ht="16" thickTop="1" thickBot="1">
      <c r="A12" s="29" t="s">
        <v>2</v>
      </c>
      <c r="B12" s="24" t="str">
        <f>SUBSTITUTE(SUBSTITUTE(SUBSTITUTE(Table2[[#This Row],[Standard Attributes List]]," ",""),".",""),"-","")</f>
        <v>EXTERNALWORKINGPRESSURE(PSI)EOECATSPECIFIEDTEMP(F)</v>
      </c>
      <c r="C12" s="39" t="s">
        <v>120</v>
      </c>
      <c r="D12" s="25" t="str">
        <f>SUBSTITUTE(SUBSTITUTE(SUBSTITUTE(LEFT(Table2[[#This Row],[Reference]],FIND("=",Table2[[#This Row],[Reference]])-2)," ",""),".",""),"-","")</f>
        <v>EXTERNALWORKINGPRESSURE(PSI)EOECATSPECIFIEDTEMP(F)</v>
      </c>
      <c r="E12" s="25" t="str">
        <f>TRIM(RIGHT(Table2[[#This Row],[Reference]],LEN(Table2[[#This Row],[Reference]])-FIND("=",Table2[[#This Row],[Reference]])-1))</f>
        <v>7500[325]</v>
      </c>
      <c r="F12" s="25" t="str">
        <f>VLOOKUP(Table2[[#This Row],[stripped attributes]],D:E,2,FALSE)</f>
        <v>7500[325]</v>
      </c>
      <c r="G12" s="22"/>
      <c r="H12" s="26" t="str">
        <f>CONCATENATE(Table2[[#This Row],[Standard Attributes List]]," = ",IF(Table2[[#This Row],[Overwrite Value]]="",Table2[[#This Row],[Ref. Value]],Table2[[#This Row],[Overwrite Value]]))</f>
        <v>EXTERNAL WORKING PRESSURE (PSI) - EOEC AT SPECIFIED TEMP (F) = 7500[325]</v>
      </c>
      <c r="I12" s="27" t="str">
        <f>IF(Table2[[#This Row],[Reference]]=Table2[[#This Row],[Output]],"OK","NG")</f>
        <v>OK</v>
      </c>
      <c r="J12" s="28" t="str">
        <f>RIGHT(Table2[[#This Row],[Output]],LEN(Table2[[#This Row],[Output]])-FIND("=",Table2[[#This Row],[Output]])-1)</f>
        <v>7500[325]</v>
      </c>
      <c r="K12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2" s="39" t="s">
        <v>73</v>
      </c>
    </row>
    <row r="13" spans="1:13" ht="16" thickTop="1" thickBot="1">
      <c r="A13" s="29" t="s">
        <v>50</v>
      </c>
      <c r="B13" s="24" t="str">
        <f>SUBSTITUTE(SUBSTITUTE(SUBSTITUTE(Table2[[#This Row],[Standard Attributes List]]," ",""),".",""),"-","")</f>
        <v>IDDRIFT(IN)</v>
      </c>
      <c r="C13" s="39" t="s">
        <v>74</v>
      </c>
      <c r="D13" s="25" t="str">
        <f>SUBSTITUTE(SUBSTITUTE(SUBSTITUTE(LEFT(Table2[[#This Row],[Reference]],FIND("=",Table2[[#This Row],[Reference]])-2)," ",""),".",""),"-","")</f>
        <v>IDDRIFT(IN)</v>
      </c>
      <c r="E13" s="25" t="str">
        <f>TRIM(RIGHT(Table2[[#This Row],[Reference]],LEN(Table2[[#This Row],[Reference]])-FIND("=",Table2[[#This Row],[Reference]])-1))</f>
        <v>2.867</v>
      </c>
      <c r="F13" s="25" t="str">
        <f>VLOOKUP(Table2[[#This Row],[stripped attributes]],D:E,2,FALSE)</f>
        <v>2.867</v>
      </c>
      <c r="G13" s="22"/>
      <c r="H13" s="26" t="str">
        <f>CONCATENATE(Table2[[#This Row],[Standard Attributes List]]," = ",IF(Table2[[#This Row],[Overwrite Value]]="",Table2[[#This Row],[Ref. Value]],Table2[[#This Row],[Overwrite Value]]))</f>
        <v>I.D. - DRIFT (IN) = 2.867</v>
      </c>
      <c r="I13" s="27" t="str">
        <f>IF(Table2[[#This Row],[Reference]]=Table2[[#This Row],[Output]],"OK","NG")</f>
        <v>OK</v>
      </c>
      <c r="J13" s="28" t="str">
        <f>RIGHT(Table2[[#This Row],[Output]],LEN(Table2[[#This Row],[Output]])-FIND("=",Table2[[#This Row],[Output]])-1)</f>
        <v>2.867</v>
      </c>
      <c r="K13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3" s="39" t="s">
        <v>275</v>
      </c>
    </row>
    <row r="14" spans="1:13" ht="16" thickTop="1" thickBot="1">
      <c r="A14" s="29" t="s">
        <v>51</v>
      </c>
      <c r="B14" s="24" t="str">
        <f>SUBSTITUTE(SUBSTITUTE(SUBSTITUTE(Table2[[#This Row],[Standard Attributes List]]," ",""),".",""),"-","")</f>
        <v>IDMIN(IN)</v>
      </c>
      <c r="C14" s="39" t="s">
        <v>75</v>
      </c>
      <c r="D14" s="25" t="str">
        <f>SUBSTITUTE(SUBSTITUTE(SUBSTITUTE(LEFT(Table2[[#This Row],[Reference]],FIND("=",Table2[[#This Row],[Reference]])-2)," ",""),".",""),"-","")</f>
        <v>IDMIN(IN)</v>
      </c>
      <c r="E14" s="25" t="str">
        <f>TRIM(RIGHT(Table2[[#This Row],[Reference]],LEN(Table2[[#This Row],[Reference]])-FIND("=",Table2[[#This Row],[Reference]])-1))</f>
        <v>2.890</v>
      </c>
      <c r="F14" s="25" t="str">
        <f>VLOOKUP(Table2[[#This Row],[stripped attributes]],D:E,2,FALSE)</f>
        <v>2.890</v>
      </c>
      <c r="G14" s="22"/>
      <c r="H14" s="26" t="str">
        <f>CONCATENATE(Table2[[#This Row],[Standard Attributes List]]," = ",IF(Table2[[#This Row],[Overwrite Value]]="",Table2[[#This Row],[Ref. Value]],Table2[[#This Row],[Overwrite Value]]))</f>
        <v>I.D. - MIN. (IN) = 2.890</v>
      </c>
      <c r="I14" s="27" t="str">
        <f>IF(Table2[[#This Row],[Reference]]=Table2[[#This Row],[Output]],"OK","NG")</f>
        <v>OK</v>
      </c>
      <c r="J14" s="28" t="str">
        <f>RIGHT(Table2[[#This Row],[Output]],LEN(Table2[[#This Row],[Output]])-FIND("=",Table2[[#This Row],[Output]])-1)</f>
        <v>2.890</v>
      </c>
      <c r="K14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4" s="39" t="s">
        <v>281</v>
      </c>
    </row>
    <row r="15" spans="1:13" ht="16" thickTop="1" thickBot="1">
      <c r="A15" s="29" t="s">
        <v>52</v>
      </c>
      <c r="B15" s="24" t="str">
        <f>SUBSTITUTE(SUBSTITUTE(SUBSTITUTE(Table2[[#This Row],[Standard Attributes List]]," ",""),".",""),"-","")</f>
        <v>ID(IN)</v>
      </c>
      <c r="C15" s="39" t="s">
        <v>76</v>
      </c>
      <c r="D15" s="25" t="str">
        <f>SUBSTITUTE(SUBSTITUTE(SUBSTITUTE(LEFT(Table2[[#This Row],[Reference]],FIND("=",Table2[[#This Row],[Reference]])-2)," ",""),".",""),"-","")</f>
        <v>ID(IN)</v>
      </c>
      <c r="E15" s="25" t="str">
        <f>TRIM(RIGHT(Table2[[#This Row],[Reference]],LEN(Table2[[#This Row],[Reference]])-FIND("=",Table2[[#This Row],[Reference]])-1))</f>
        <v>2.890</v>
      </c>
      <c r="F15" s="25" t="str">
        <f>VLOOKUP(Table2[[#This Row],[stripped attributes]],D:E,2,FALSE)</f>
        <v>2.890</v>
      </c>
      <c r="G15" s="38"/>
      <c r="H15" s="26" t="str">
        <f>CONCATENATE(Table2[[#This Row],[Standard Attributes List]]," = ",IF(Table2[[#This Row],[Overwrite Value]]="",Table2[[#This Row],[Ref. Value]],Table2[[#This Row],[Overwrite Value]]))</f>
        <v>I.D. (IN) = 2.890</v>
      </c>
      <c r="I15" s="27" t="str">
        <f>IF(Table2[[#This Row],[Reference]]=Table2[[#This Row],[Output]],"OK","NG")</f>
        <v>OK</v>
      </c>
      <c r="J15" s="28" t="str">
        <f>RIGHT(Table2[[#This Row],[Output]],LEN(Table2[[#This Row],[Output]])-FIND("=",Table2[[#This Row],[Output]])-1)</f>
        <v>2.890</v>
      </c>
      <c r="K15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5" s="39" t="s">
        <v>75</v>
      </c>
    </row>
    <row r="16" spans="1:13" ht="16" thickTop="1" thickBot="1">
      <c r="A16" s="29" t="s">
        <v>3</v>
      </c>
      <c r="B16" s="24" t="str">
        <f>SUBSTITUTE(SUBSTITUTE(SUBSTITUTE(Table2[[#This Row],[Standard Attributes List]]," ",""),".",""),"-","")</f>
        <v>INTERNALWORKINGPRESSURE(PSI)EOECATSPECIFIEDTEMP(F)</v>
      </c>
      <c r="C16" s="39" t="s">
        <v>124</v>
      </c>
      <c r="D16" s="25" t="str">
        <f>SUBSTITUTE(SUBSTITUTE(SUBSTITUTE(LEFT(Table2[[#This Row],[Reference]],FIND("=",Table2[[#This Row],[Reference]])-2)," ",""),".",""),"-","")</f>
        <v>INTERNALWORKINGPRESSURE(PSI)EOECATSPECIFIEDTEMP(F)</v>
      </c>
      <c r="E16" s="25" t="str">
        <f>TRIM(RIGHT(Table2[[#This Row],[Reference]],LEN(Table2[[#This Row],[Reference]])-FIND("=",Table2[[#This Row],[Reference]])-1))</f>
        <v>7500[325]</v>
      </c>
      <c r="F16" s="25" t="str">
        <f>VLOOKUP(Table2[[#This Row],[stripped attributes]],D:E,2,FALSE)</f>
        <v>7500[325]</v>
      </c>
      <c r="G16" s="22"/>
      <c r="H16" s="26" t="str">
        <f>CONCATENATE(Table2[[#This Row],[Standard Attributes List]]," = ",IF(Table2[[#This Row],[Overwrite Value]]="",Table2[[#This Row],[Ref. Value]],Table2[[#This Row],[Overwrite Value]]))</f>
        <v>INTERNAL WORKING PRESSURE (PSI) - EOEC AT SPECIFIED TEMP (F) = 7500[325]</v>
      </c>
      <c r="I16" s="27" t="str">
        <f>IF(Table2[[#This Row],[Reference]]=Table2[[#This Row],[Output]],"OK","NG")</f>
        <v>OK</v>
      </c>
      <c r="J16" s="28" t="str">
        <f>RIGHT(Table2[[#This Row],[Output]],LEN(Table2[[#This Row],[Output]])-FIND("=",Table2[[#This Row],[Output]])-1)</f>
        <v>7500[325]</v>
      </c>
      <c r="K16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6" s="39" t="s">
        <v>76</v>
      </c>
    </row>
    <row r="17" spans="1:13" ht="16" thickTop="1" thickBot="1">
      <c r="A17" s="23" t="s">
        <v>59</v>
      </c>
      <c r="B17" s="24" t="str">
        <f>SUBSTITUTE(SUBSTITUTE(SUBSTITUTE(Table2[[#This Row],[Standard Attributes List]]," ",""),".",""),"-","")</f>
        <v>ISOQUALIFIEDCASINGID</v>
      </c>
      <c r="C17" s="39" t="s">
        <v>77</v>
      </c>
      <c r="D17" s="25" t="str">
        <f>SUBSTITUTE(SUBSTITUTE(SUBSTITUTE(LEFT(Table2[[#This Row],[Reference]],FIND("=",Table2[[#This Row],[Reference]])-2)," ",""),".",""),"-","")</f>
        <v>ISOQUALIFIEDCASINGID</v>
      </c>
      <c r="E17" s="25" t="str">
        <f>TRIM(RIGHT(Table2[[#This Row],[Reference]],LEN(Table2[[#This Row],[Reference]])-FIND("=",Table2[[#This Row],[Reference]])-1))</f>
        <v>MAX API ID</v>
      </c>
      <c r="F17" s="25" t="str">
        <f>VLOOKUP(Table2[[#This Row],[stripped attributes]],D:E,2,FALSE)</f>
        <v>MAX API ID</v>
      </c>
      <c r="G17" s="22"/>
      <c r="H17" s="26" t="str">
        <f>CONCATENATE(Table2[[#This Row],[Standard Attributes List]]," = ",IF(Table2[[#This Row],[Overwrite Value]]="",Table2[[#This Row],[Ref. Value]],Table2[[#This Row],[Overwrite Value]]))</f>
        <v>ISO QUALIFIED CASING ID = MAX API ID</v>
      </c>
      <c r="I17" s="27" t="str">
        <f>IF(Table2[[#This Row],[Reference]]=Table2[[#This Row],[Output]],"OK","NG")</f>
        <v>OK</v>
      </c>
      <c r="J17" s="28" t="str">
        <f>RIGHT(Table2[[#This Row],[Output]],LEN(Table2[[#This Row],[Output]])-FIND("=",Table2[[#This Row],[Output]])-1)</f>
        <v>MAX API ID</v>
      </c>
      <c r="K17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7" s="39" t="s">
        <v>276</v>
      </c>
    </row>
    <row r="18" spans="1:13" ht="16" thickTop="1" thickBot="1">
      <c r="A18" s="29" t="s">
        <v>4</v>
      </c>
      <c r="B18" s="24" t="str">
        <f>SUBSTITUTE(SUBSTITUTE(SUBSTITUTE(Table2[[#This Row],[Standard Attributes List]]," ",""),".",""),"-","")</f>
        <v>LOWERTHREADCONNECTINGSIZE(IN),WT(PPF),TYPE,CONFIG</v>
      </c>
      <c r="C18" s="39" t="s">
        <v>172</v>
      </c>
      <c r="D18" s="25" t="str">
        <f>SUBSTITUTE(SUBSTITUTE(SUBSTITUTE(LEFT(Table2[[#This Row],[Reference]],FIND("=",Table2[[#This Row],[Reference]])-2)," ",""),".",""),"-","")</f>
        <v>LOWERTHREADCONNECTINGSIZE(IN),WT(PPF),TYPE,CONFIG</v>
      </c>
      <c r="E18" s="25" t="str">
        <f>TRIM(RIGHT(Table2[[#This Row],[Reference]],LEN(Table2[[#This Row],[Reference]])-FIND("=",Table2[[#This Row],[Reference]])-1))</f>
        <v>3.500, 9.2, JFEBEAR, PIN</v>
      </c>
      <c r="F18" s="25" t="str">
        <f>VLOOKUP(Table2[[#This Row],[stripped attributes]],D:E,2,FALSE)</f>
        <v>3.500, 9.2, JFEBEAR, PIN</v>
      </c>
      <c r="G18" s="22"/>
      <c r="H18" s="26" t="str">
        <f>CONCATENATE(Table2[[#This Row],[Standard Attributes List]]," = ",IF(Table2[[#This Row],[Overwrite Value]]="",Table2[[#This Row],[Ref. Value]],Table2[[#This Row],[Overwrite Value]]))</f>
        <v>LOWER THREAD CONNECTING - SIZE (IN), WT (PPF), TYPE, CONFIG = 3.500, 9.2, JFEBEAR, PIN</v>
      </c>
      <c r="I18" s="27" t="str">
        <f>IF(Table2[[#This Row],[Reference]]=Table2[[#This Row],[Output]],"OK","NG")</f>
        <v>OK</v>
      </c>
      <c r="J18" s="28" t="str">
        <f>RIGHT(Table2[[#This Row],[Output]],LEN(Table2[[#This Row],[Output]])-FIND("=",Table2[[#This Row],[Output]])-1)</f>
        <v>3.500, 9.2, JFEBEAR, PIN</v>
      </c>
      <c r="K18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8" s="39" t="s">
        <v>77</v>
      </c>
    </row>
    <row r="19" spans="1:13" ht="16" thickTop="1" thickBot="1">
      <c r="A19" s="29" t="s">
        <v>53</v>
      </c>
      <c r="B19" s="24" t="str">
        <f>SUBSTITUTE(SUBSTITUTE(SUBSTITUTE(Table2[[#This Row],[Standard Attributes List]]," ",""),".",""),"-","")</f>
        <v>MAKEUPLENGTH(IN)</v>
      </c>
      <c r="C19" s="39" t="s">
        <v>78</v>
      </c>
      <c r="D19" s="25" t="str">
        <f>SUBSTITUTE(SUBSTITUTE(SUBSTITUTE(LEFT(Table2[[#This Row],[Reference]],FIND("=",Table2[[#This Row],[Reference]])-2)," ",""),".",""),"-","")</f>
        <v>MAKEUPLENGTH(IN)</v>
      </c>
      <c r="E19" s="25" t="str">
        <f>TRIM(RIGHT(Table2[[#This Row],[Reference]],LEN(Table2[[#This Row],[Reference]])-FIND("=",Table2[[#This Row],[Reference]])-1))</f>
        <v>90</v>
      </c>
      <c r="F19" s="25" t="str">
        <f>VLOOKUP(Table2[[#This Row],[stripped attributes]],D:E,2,FALSE)</f>
        <v>90</v>
      </c>
      <c r="G19" s="22"/>
      <c r="H19" s="26" t="str">
        <f>CONCATENATE(Table2[[#This Row],[Standard Attributes List]]," = ",IF(Table2[[#This Row],[Overwrite Value]]="",Table2[[#This Row],[Ref. Value]],Table2[[#This Row],[Overwrite Value]]))</f>
        <v>MAKE-UP LENGTH (IN) = 90</v>
      </c>
      <c r="I19" s="27" t="str">
        <f>IF(Table2[[#This Row],[Reference]]=Table2[[#This Row],[Output]],"OK","NG")</f>
        <v>OK</v>
      </c>
      <c r="J19" s="28" t="str">
        <f>RIGHT(Table2[[#This Row],[Output]],LEN(Table2[[#This Row],[Output]])-FIND("=",Table2[[#This Row],[Output]])-1)</f>
        <v>90</v>
      </c>
      <c r="K19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9" s="39" t="s">
        <v>277</v>
      </c>
    </row>
    <row r="20" spans="1:13" ht="16" thickTop="1" thickBot="1">
      <c r="A20" s="29" t="s">
        <v>5</v>
      </c>
      <c r="B20" s="24" t="str">
        <f>SUBSTITUTE(SUBSTITUTE(SUBSTITUTE(Table2[[#This Row],[Standard Attributes List]]," ",""),".",""),"-","")</f>
        <v>MATERIAL/ELASTOMERS</v>
      </c>
      <c r="C20" s="39" t="s">
        <v>79</v>
      </c>
      <c r="D20" s="25" t="str">
        <f>SUBSTITUTE(SUBSTITUTE(SUBSTITUTE(LEFT(Table2[[#This Row],[Reference]],FIND("=",Table2[[#This Row],[Reference]])-2)," ",""),".",""),"-","")</f>
        <v>MATERIAL/ELASTOMERS</v>
      </c>
      <c r="E20" s="25" t="str">
        <f>TRIM(RIGHT(Table2[[#This Row],[Reference]],LEN(Table2[[#This Row],[Reference]])-FIND("=",Table2[[#This Row],[Reference]])-1))</f>
        <v>HNBR</v>
      </c>
      <c r="F20" s="25" t="str">
        <f>VLOOKUP(Table2[[#This Row],[stripped attributes]],D:E,2,FALSE)</f>
        <v>HNBR</v>
      </c>
      <c r="G20" s="22"/>
      <c r="H20" s="26" t="str">
        <f>CONCATENATE(Table2[[#This Row],[Standard Attributes List]]," = ",IF(Table2[[#This Row],[Overwrite Value]]="",Table2[[#This Row],[Ref. Value]],Table2[[#This Row],[Overwrite Value]]))</f>
        <v>MATERIAL/ELASTOMERS = HNBR</v>
      </c>
      <c r="I20" s="27" t="str">
        <f>IF(Table2[[#This Row],[Reference]]=Table2[[#This Row],[Output]],"OK","NG")</f>
        <v>OK</v>
      </c>
      <c r="J20" s="28" t="str">
        <f>RIGHT(Table2[[#This Row],[Output]],LEN(Table2[[#This Row],[Output]])-FIND("=",Table2[[#This Row],[Output]])-1)</f>
        <v>HNBR</v>
      </c>
      <c r="K20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0" s="39" t="s">
        <v>78</v>
      </c>
    </row>
    <row r="21" spans="1:13" ht="16" thickTop="1" thickBot="1">
      <c r="A21" s="29" t="s">
        <v>21</v>
      </c>
      <c r="B21" s="24" t="str">
        <f>SUBSTITUTE(SUBSTITUTE(SUBSTITUTE(Table2[[#This Row],[Standard Attributes List]]," ",""),".",""),"-","")</f>
        <v>MATERIAL/ELEMENTS</v>
      </c>
      <c r="C21" s="39" t="s">
        <v>62</v>
      </c>
      <c r="D21" s="25" t="str">
        <f>SUBSTITUTE(SUBSTITUTE(SUBSTITUTE(LEFT(Table2[[#This Row],[Reference]],FIND("=",Table2[[#This Row],[Reference]])-2)," ",""),".",""),"-","")</f>
        <v>MATERIAL/ELEMENTS</v>
      </c>
      <c r="E21" s="25" t="str">
        <f>TRIM(RIGHT(Table2[[#This Row],[Reference]],LEN(Table2[[#This Row],[Reference]])-FIND("=",Table2[[#This Row],[Reference]])-1))</f>
        <v>HNBR</v>
      </c>
      <c r="F21" s="25" t="str">
        <f>VLOOKUP(Table2[[#This Row],[stripped attributes]],D:E,2,FALSE)</f>
        <v>HNBR</v>
      </c>
      <c r="G21" s="37"/>
      <c r="H21" s="26" t="str">
        <f>CONCATENATE(Table2[[#This Row],[Standard Attributes List]]," = ",IF(Table2[[#This Row],[Overwrite Value]]="",Table2[[#This Row],[Ref. Value]],Table2[[#This Row],[Overwrite Value]]))</f>
        <v>MATERIAL/ELEMENTS = HNBR</v>
      </c>
      <c r="I21" s="27" t="str">
        <f>IF(Table2[[#This Row],[Reference]]=Table2[[#This Row],[Output]],"OK","NG")</f>
        <v>OK</v>
      </c>
      <c r="J21" s="28" t="str">
        <f>RIGHT(Table2[[#This Row],[Output]],LEN(Table2[[#This Row],[Output]])-FIND("=",Table2[[#This Row],[Output]])-1)</f>
        <v>HNBR</v>
      </c>
      <c r="K21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1" s="39" t="s">
        <v>269</v>
      </c>
    </row>
    <row r="22" spans="1:13" ht="16" thickTop="1" thickBot="1">
      <c r="A22" s="29" t="s">
        <v>22</v>
      </c>
      <c r="B22" s="24" t="str">
        <f>SUBSTITUTE(SUBSTITUTE(SUBSTITUTE(Table2[[#This Row],[Standard Attributes List]]," ",""),".",""),"-","")</f>
        <v>MATERIAL/NONFLOWWETTED</v>
      </c>
      <c r="C22" s="39" t="s">
        <v>173</v>
      </c>
      <c r="D22" s="25" t="str">
        <f>SUBSTITUTE(SUBSTITUTE(SUBSTITUTE(LEFT(Table2[[#This Row],[Reference]],FIND("=",Table2[[#This Row],[Reference]])-2)," ",""),".",""),"-","")</f>
        <v>MATERIAL/NONFLOWWETTED</v>
      </c>
      <c r="E22" s="25" t="str">
        <f>TRIM(RIGHT(Table2[[#This Row],[Reference]],LEN(Table2[[#This Row],[Reference]])-FIND("=",Table2[[#This Row],[Reference]])-1))</f>
        <v>4130/4140/4145, 4340</v>
      </c>
      <c r="F22" s="25" t="str">
        <f>VLOOKUP(Table2[[#This Row],[stripped attributes]],D:E,2,FALSE)</f>
        <v>4130/4140/4145, 4340</v>
      </c>
      <c r="G22" s="22"/>
      <c r="H22" s="26" t="str">
        <f>CONCATENATE(Table2[[#This Row],[Standard Attributes List]]," = ",IF(Table2[[#This Row],[Overwrite Value]]="",Table2[[#This Row],[Ref. Value]],Table2[[#This Row],[Overwrite Value]]))</f>
        <v>MATERIAL/NON FLOW WETTED = 4130/4140/4145, 4340</v>
      </c>
      <c r="I22" s="27" t="str">
        <f>IF(Table2[[#This Row],[Reference]]=Table2[[#This Row],[Output]],"OK","NG")</f>
        <v>OK</v>
      </c>
      <c r="J22" s="28" t="str">
        <f>RIGHT(Table2[[#This Row],[Output]],LEN(Table2[[#This Row],[Output]])-FIND("=",Table2[[#This Row],[Output]])-1)</f>
        <v>4130/4140/4145, 4340</v>
      </c>
      <c r="K22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2" s="39" t="s">
        <v>270</v>
      </c>
    </row>
    <row r="23" spans="1:13" ht="16" thickTop="1" thickBot="1">
      <c r="A23" s="29" t="s">
        <v>23</v>
      </c>
      <c r="B23" s="24" t="str">
        <f>SUBSTITUTE(SUBSTITUTE(SUBSTITUTE(Table2[[#This Row],[Standard Attributes List]]," ",""),".",""),"-","")</f>
        <v>MATERIAL/ORING(S)</v>
      </c>
      <c r="C23" s="39" t="s">
        <v>81</v>
      </c>
      <c r="D23" s="25" t="str">
        <f>SUBSTITUTE(SUBSTITUTE(SUBSTITUTE(LEFT(Table2[[#This Row],[Reference]],FIND("=",Table2[[#This Row],[Reference]])-2)," ",""),".",""),"-","")</f>
        <v>MATERIAL/ORING(S)</v>
      </c>
      <c r="E23" s="25" t="str">
        <f>TRIM(RIGHT(Table2[[#This Row],[Reference]],LEN(Table2[[#This Row],[Reference]])-FIND("=",Table2[[#This Row],[Reference]])-1))</f>
        <v>HNBR</v>
      </c>
      <c r="F23" s="25" t="str">
        <f>VLOOKUP(Table2[[#This Row],[stripped attributes]],D:E,2,FALSE)</f>
        <v>HNBR</v>
      </c>
      <c r="G23" s="22"/>
      <c r="H23" s="26" t="str">
        <f>CONCATENATE(Table2[[#This Row],[Standard Attributes List]]," = ",IF(Table2[[#This Row],[Overwrite Value]]="",Table2[[#This Row],[Ref. Value]],Table2[[#This Row],[Overwrite Value]]))</f>
        <v>MATERIAL/O-RING(S) = HNBR</v>
      </c>
      <c r="I23" s="27" t="str">
        <f>IF(Table2[[#This Row],[Reference]]=Table2[[#This Row],[Output]],"OK","NG")</f>
        <v>OK</v>
      </c>
      <c r="J23" s="28" t="str">
        <f>RIGHT(Table2[[#This Row],[Output]],LEN(Table2[[#This Row],[Output]])-FIND("=",Table2[[#This Row],[Output]])-1)</f>
        <v>HNBR</v>
      </c>
      <c r="K23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3" s="39" t="s">
        <v>282</v>
      </c>
    </row>
    <row r="24" spans="1:13" ht="16" thickTop="1" thickBot="1">
      <c r="A24" s="29" t="s">
        <v>38</v>
      </c>
      <c r="B24" s="24" t="str">
        <f>SUBSTITUTE(SUBSTITUTE(SUBSTITUTE(Table2[[#This Row],[Standard Attributes List]]," ",""),".",""),"-","")</f>
        <v>MAXCIRCULATIONRATEPASTPACKER(BPM)</v>
      </c>
      <c r="C24" s="39" t="s">
        <v>82</v>
      </c>
      <c r="D24" s="25" t="str">
        <f>SUBSTITUTE(SUBSTITUTE(SUBSTITUTE(LEFT(Table2[[#This Row],[Reference]],FIND("=",Table2[[#This Row],[Reference]])-2)," ",""),".",""),"-","")</f>
        <v>MAXCIRCULATIONRATEPASTPACKER(BPM)</v>
      </c>
      <c r="E24" s="25" t="str">
        <f>TRIM(RIGHT(Table2[[#This Row],[Reference]],LEN(Table2[[#This Row],[Reference]])-FIND("=",Table2[[#This Row],[Reference]])-1))</f>
        <v>7</v>
      </c>
      <c r="F24" s="25" t="str">
        <f>VLOOKUP(Table2[[#This Row],[stripped attributes]],D:E,2,FALSE)</f>
        <v>7</v>
      </c>
      <c r="G24" s="22"/>
      <c r="H24" s="26" t="str">
        <f>CONCATENATE(Table2[[#This Row],[Standard Attributes List]]," = ",IF(Table2[[#This Row],[Overwrite Value]]="",Table2[[#This Row],[Ref. Value]],Table2[[#This Row],[Overwrite Value]]))</f>
        <v>MAX. CIRCULATION RATE PAST PACKER (BPM) = 7</v>
      </c>
      <c r="I24" s="27" t="str">
        <f>IF(Table2[[#This Row],[Reference]]=Table2[[#This Row],[Output]],"OK","NG")</f>
        <v>OK</v>
      </c>
      <c r="J24" s="28" t="str">
        <f>RIGHT(Table2[[#This Row],[Output]],LEN(Table2[[#This Row],[Output]])-FIND("=",Table2[[#This Row],[Output]])-1)</f>
        <v>7</v>
      </c>
      <c r="K24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4" s="39" t="s">
        <v>271</v>
      </c>
    </row>
    <row r="25" spans="1:13" ht="16" thickTop="1" thickBot="1">
      <c r="A25" s="29" t="s">
        <v>24</v>
      </c>
      <c r="B25" s="24" t="str">
        <f>SUBSTITUTE(SUBSTITUTE(SUBSTITUTE(Table2[[#This Row],[Standard Attributes List]]," ",""),".",""),"-","")</f>
        <v>MAXDELTAT(F)</v>
      </c>
      <c r="C25" s="39" t="s">
        <v>83</v>
      </c>
      <c r="D25" s="25" t="str">
        <f>SUBSTITUTE(SUBSTITUTE(SUBSTITUTE(LEFT(Table2[[#This Row],[Reference]],FIND("=",Table2[[#This Row],[Reference]])-2)," ",""),".",""),"-","")</f>
        <v>MAXDELTAT(F)</v>
      </c>
      <c r="E25" s="25" t="str">
        <f>TRIM(RIGHT(Table2[[#This Row],[Reference]],LEN(Table2[[#This Row],[Reference]])-FIND("=",Table2[[#This Row],[Reference]])-1))</f>
        <v>212</v>
      </c>
      <c r="F25" s="25" t="str">
        <f>VLOOKUP(Table2[[#This Row],[stripped attributes]],D:E,2,FALSE)</f>
        <v>212</v>
      </c>
      <c r="G25" s="22"/>
      <c r="H25" s="26" t="str">
        <f>CONCATENATE(Table2[[#This Row],[Standard Attributes List]]," = ",IF(Table2[[#This Row],[Overwrite Value]]="",Table2[[#This Row],[Ref. Value]],Table2[[#This Row],[Overwrite Value]]))</f>
        <v>MAX. DELTA T (F) = 212</v>
      </c>
      <c r="I25" s="27" t="str">
        <f>IF(Table2[[#This Row],[Reference]]=Table2[[#This Row],[Output]],"OK","NG")</f>
        <v>OK</v>
      </c>
      <c r="J25" s="28" t="str">
        <f>RIGHT(Table2[[#This Row],[Output]],LEN(Table2[[#This Row],[Output]])-FIND("=",Table2[[#This Row],[Output]])-1)</f>
        <v>212</v>
      </c>
      <c r="K25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5" s="39" t="s">
        <v>283</v>
      </c>
    </row>
    <row r="26" spans="1:13" ht="16" thickTop="1" thickBot="1">
      <c r="A26" s="29" t="s">
        <v>39</v>
      </c>
      <c r="B26" s="24" t="str">
        <f>SUBSTITUTE(SUBSTITUTE(SUBSTITUTE(Table2[[#This Row],[Standard Attributes List]]," ",""),".",""),"-","")</f>
        <v>MAXRIHRATE(FPM)</v>
      </c>
      <c r="C26" s="39" t="s">
        <v>84</v>
      </c>
      <c r="D26" s="25" t="str">
        <f>SUBSTITUTE(SUBSTITUTE(SUBSTITUTE(LEFT(Table2[[#This Row],[Reference]],FIND("=",Table2[[#This Row],[Reference]])-2)," ",""),".",""),"-","")</f>
        <v>MAXRIHRATE(FPM)</v>
      </c>
      <c r="E26" s="25" t="str">
        <f>TRIM(RIGHT(Table2[[#This Row],[Reference]],LEN(Table2[[#This Row],[Reference]])-FIND("=",Table2[[#This Row],[Reference]])-1))</f>
        <v>200</v>
      </c>
      <c r="F26" s="25" t="str">
        <f>VLOOKUP(Table2[[#This Row],[stripped attributes]],D:E,2,FALSE)</f>
        <v>200</v>
      </c>
      <c r="G26" s="22"/>
      <c r="H26" s="26" t="str">
        <f>CONCATENATE(Table2[[#This Row],[Standard Attributes List]]," = ",IF(Table2[[#This Row],[Overwrite Value]]="",Table2[[#This Row],[Ref. Value]],Table2[[#This Row],[Overwrite Value]]))</f>
        <v>MAX. RIH RATE (FPM) = 200</v>
      </c>
      <c r="I26" s="27" t="str">
        <f>IF(Table2[[#This Row],[Reference]]=Table2[[#This Row],[Output]],"OK","NG")</f>
        <v>OK</v>
      </c>
      <c r="J26" s="28" t="str">
        <f>RIGHT(Table2[[#This Row],[Output]],LEN(Table2[[#This Row],[Output]])-FIND("=",Table2[[#This Row],[Output]])-1)</f>
        <v>200</v>
      </c>
      <c r="K26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6" s="39" t="s">
        <v>272</v>
      </c>
    </row>
    <row r="27" spans="1:13" ht="16" thickTop="1" thickBot="1">
      <c r="A27" s="29" t="s">
        <v>6</v>
      </c>
      <c r="B27" s="24" t="str">
        <f>SUBSTITUTE(SUBSTITUTE(SUBSTITUTE(Table2[[#This Row],[Standard Attributes List]]," ",""),".",""),"-","")</f>
        <v>MAXWORKINGTEMPERATURE(DEGF)</v>
      </c>
      <c r="C27" s="39" t="s">
        <v>63</v>
      </c>
      <c r="D27" s="25" t="str">
        <f>SUBSTITUTE(SUBSTITUTE(SUBSTITUTE(LEFT(Table2[[#This Row],[Reference]],FIND("=",Table2[[#This Row],[Reference]])-2)," ",""),".",""),"-","")</f>
        <v>MAXWORKINGTEMPERATURE(DEGF)</v>
      </c>
      <c r="E27" s="25" t="str">
        <f>TRIM(RIGHT(Table2[[#This Row],[Reference]],LEN(Table2[[#This Row],[Reference]])-FIND("=",Table2[[#This Row],[Reference]])-1))</f>
        <v>325</v>
      </c>
      <c r="F27" s="25" t="str">
        <f>VLOOKUP(Table2[[#This Row],[stripped attributes]],D:E,2,FALSE)</f>
        <v>325</v>
      </c>
      <c r="G27" s="22"/>
      <c r="H27" s="26" t="str">
        <f>CONCATENATE(Table2[[#This Row],[Standard Attributes List]]," = ",IF(Table2[[#This Row],[Overwrite Value]]="",Table2[[#This Row],[Ref. Value]],Table2[[#This Row],[Overwrite Value]]))</f>
        <v>MAX. WORKING TEMPERATURE (DEG.F) = 325</v>
      </c>
      <c r="I27" s="27" t="str">
        <f>IF(Table2[[#This Row],[Reference]]=Table2[[#This Row],[Output]],"OK","NG")</f>
        <v>OK</v>
      </c>
      <c r="J27" s="28" t="str">
        <f>RIGHT(Table2[[#This Row],[Output]],LEN(Table2[[#This Row],[Output]])-FIND("=",Table2[[#This Row],[Output]])-1)</f>
        <v>325</v>
      </c>
      <c r="K27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7" s="39" t="s">
        <v>84</v>
      </c>
    </row>
    <row r="28" spans="1:13" ht="16" thickTop="1" thickBot="1">
      <c r="A28" s="29" t="s">
        <v>7</v>
      </c>
      <c r="B28" s="24" t="str">
        <f>SUBSTITUTE(SUBSTITUTE(SUBSTITUTE(Table2[[#This Row],[Standard Attributes List]]," ",""),".",""),"-","")</f>
        <v>MINWORKINGTEMPERATURE(DEGF)</v>
      </c>
      <c r="C28" s="39" t="s">
        <v>85</v>
      </c>
      <c r="D28" s="25" t="str">
        <f>SUBSTITUTE(SUBSTITUTE(SUBSTITUTE(LEFT(Table2[[#This Row],[Reference]],FIND("=",Table2[[#This Row],[Reference]])-2)," ",""),".",""),"-","")</f>
        <v>MINWORKINGTEMPERATURE(DEGF)</v>
      </c>
      <c r="E28" s="25" t="str">
        <f>TRIM(RIGHT(Table2[[#This Row],[Reference]],LEN(Table2[[#This Row],[Reference]])-FIND("=",Table2[[#This Row],[Reference]])-1))</f>
        <v>38</v>
      </c>
      <c r="F28" s="25" t="str">
        <f>VLOOKUP(Table2[[#This Row],[stripped attributes]],D:E,2,FALSE)</f>
        <v>38</v>
      </c>
      <c r="G28" s="22"/>
      <c r="H28" s="26" t="str">
        <f>CONCATENATE(Table2[[#This Row],[Standard Attributes List]]," = ",IF(Table2[[#This Row],[Overwrite Value]]="",Table2[[#This Row],[Ref. Value]],Table2[[#This Row],[Overwrite Value]]))</f>
        <v>MIN. WORKING TEMPERATURE (DEG.F) = 38</v>
      </c>
      <c r="I28" s="27" t="str">
        <f>IF(Table2[[#This Row],[Reference]]=Table2[[#This Row],[Output]],"OK","NG")</f>
        <v>OK</v>
      </c>
      <c r="J28" s="28" t="str">
        <f>RIGHT(Table2[[#This Row],[Output]],LEN(Table2[[#This Row],[Output]])-FIND("=",Table2[[#This Row],[Output]])-1)</f>
        <v>38</v>
      </c>
      <c r="K28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8" s="39" t="s">
        <v>273</v>
      </c>
    </row>
    <row r="29" spans="1:13" ht="16" thickTop="1" thickBot="1">
      <c r="A29" s="29" t="s">
        <v>8</v>
      </c>
      <c r="B29" s="24" t="str">
        <f>SUBSTITUTE(SUBSTITUTE(SUBSTITUTE(Table2[[#This Row],[Standard Attributes List]]," ",""),".",""),"-","")</f>
        <v>ODMAX(IN)</v>
      </c>
      <c r="C29" s="39" t="s">
        <v>87</v>
      </c>
      <c r="D29" s="25" t="str">
        <f>SUBSTITUTE(SUBSTITUTE(SUBSTITUTE(LEFT(Table2[[#This Row],[Reference]],FIND("=",Table2[[#This Row],[Reference]])-2)," ",""),".",""),"-","")</f>
        <v>ODMAX(IN)</v>
      </c>
      <c r="E29" s="25" t="str">
        <f>TRIM(RIGHT(Table2[[#This Row],[Reference]],LEN(Table2[[#This Row],[Reference]])-FIND("=",Table2[[#This Row],[Reference]])-1))</f>
        <v>5.810</v>
      </c>
      <c r="F29" s="25" t="str">
        <f>VLOOKUP(Table2[[#This Row],[stripped attributes]],D:E,2,FALSE)</f>
        <v>5.810</v>
      </c>
      <c r="G29" s="22"/>
      <c r="H29" s="26" t="str">
        <f>CONCATENATE(Table2[[#This Row],[Standard Attributes List]]," = ",IF(Table2[[#This Row],[Overwrite Value]]="",Table2[[#This Row],[Ref. Value]],Table2[[#This Row],[Overwrite Value]]))</f>
        <v>O.D. - MAX. (IN) = 5.810</v>
      </c>
      <c r="I29" s="27" t="str">
        <f>IF(Table2[[#This Row],[Reference]]=Table2[[#This Row],[Output]],"OK","NG")</f>
        <v>OK</v>
      </c>
      <c r="J29" s="28" t="str">
        <f>RIGHT(Table2[[#This Row],[Output]],LEN(Table2[[#This Row],[Output]])-FIND("=",Table2[[#This Row],[Output]])-1)</f>
        <v>5.810</v>
      </c>
      <c r="K29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9" s="39" t="s">
        <v>274</v>
      </c>
    </row>
    <row r="30" spans="1:13" ht="16" thickTop="1" thickBot="1">
      <c r="A30" s="29" t="s">
        <v>9</v>
      </c>
      <c r="B30" s="24" t="str">
        <f>SUBSTITUTE(SUBSTITUTE(SUBSTITUTE(Table2[[#This Row],[Standard Attributes List]]," ",""),".",""),"-","")</f>
        <v>OD(IN)</v>
      </c>
      <c r="C30" s="39" t="s">
        <v>86</v>
      </c>
      <c r="D30" s="25" t="str">
        <f>SUBSTITUTE(SUBSTITUTE(SUBSTITUTE(LEFT(Table2[[#This Row],[Reference]],FIND("=",Table2[[#This Row],[Reference]])-2)," ",""),".",""),"-","")</f>
        <v>OD(IN)</v>
      </c>
      <c r="E30" s="25" t="str">
        <f>TRIM(RIGHT(Table2[[#This Row],[Reference]],LEN(Table2[[#This Row],[Reference]])-FIND("=",Table2[[#This Row],[Reference]])-1))</f>
        <v>5.810</v>
      </c>
      <c r="F30" s="25" t="str">
        <f>VLOOKUP(Table2[[#This Row],[stripped attributes]],D:E,2,FALSE)</f>
        <v>5.810</v>
      </c>
      <c r="G30" s="22"/>
      <c r="H30" s="26" t="str">
        <f>CONCATENATE(Table2[[#This Row],[Standard Attributes List]]," = ",IF(Table2[[#This Row],[Overwrite Value]]="",Table2[[#This Row],[Ref. Value]],Table2[[#This Row],[Overwrite Value]]))</f>
        <v>O.D. (IN) = 5.810</v>
      </c>
      <c r="I30" s="27" t="str">
        <f>IF(Table2[[#This Row],[Reference]]=Table2[[#This Row],[Output]],"OK","NG")</f>
        <v>OK</v>
      </c>
      <c r="J30" s="28" t="str">
        <f>RIGHT(Table2[[#This Row],[Output]],LEN(Table2[[#This Row],[Output]])-FIND("=",Table2[[#This Row],[Output]])-1)</f>
        <v>5.810</v>
      </c>
      <c r="K30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0" s="39" t="s">
        <v>87</v>
      </c>
    </row>
    <row r="31" spans="1:13" ht="16" thickTop="1" thickBot="1">
      <c r="A31" s="29" t="s">
        <v>40</v>
      </c>
      <c r="B31" s="24" t="str">
        <f>SUBSTITUTE(SUBSTITUTE(SUBSTITUTE(Table2[[#This Row],[Standard Attributes List]]," ",""),".",""),"-","")</f>
        <v>OPERATIONSMANUAL</v>
      </c>
      <c r="C31" s="39" t="s">
        <v>88</v>
      </c>
      <c r="D31" s="25" t="str">
        <f>SUBSTITUTE(SUBSTITUTE(SUBSTITUTE(LEFT(Table2[[#This Row],[Reference]],FIND("=",Table2[[#This Row],[Reference]])-2)," ",""),".",""),"-","")</f>
        <v>OPERATIONSMANUAL</v>
      </c>
      <c r="E31" s="25" t="str">
        <f>TRIM(RIGHT(Table2[[#This Row],[Reference]],LEN(Table2[[#This Row],[Reference]])-FIND("=",Table2[[#This Row],[Reference]])-1))</f>
        <v>IT# 4063442</v>
      </c>
      <c r="F31" s="25" t="str">
        <f>VLOOKUP(Table2[[#This Row],[stripped attributes]],D:E,2,FALSE)</f>
        <v>IT# 4063442</v>
      </c>
      <c r="G31" s="22"/>
      <c r="H31" s="26" t="str">
        <f>CONCATENATE(Table2[[#This Row],[Standard Attributes List]]," = ",IF(Table2[[#This Row],[Overwrite Value]]="",Table2[[#This Row],[Ref. Value]],Table2[[#This Row],[Overwrite Value]]))</f>
        <v>OPERATIONS MANUAL = IT# 4063442</v>
      </c>
      <c r="I31" s="27" t="str">
        <f>IF(Table2[[#This Row],[Reference]]=Table2[[#This Row],[Output]],"OK","NG")</f>
        <v>OK</v>
      </c>
      <c r="J31" s="28" t="str">
        <f>RIGHT(Table2[[#This Row],[Output]],LEN(Table2[[#This Row],[Output]])-FIND("=",Table2[[#This Row],[Output]])-1)</f>
        <v>IT# 4063442</v>
      </c>
      <c r="K31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1" s="39" t="s">
        <v>86</v>
      </c>
    </row>
    <row r="32" spans="1:13" ht="16" thickTop="1" thickBot="1">
      <c r="A32" s="29" t="s">
        <v>10</v>
      </c>
      <c r="B32" s="24" t="str">
        <f>SUBSTITUTE(SUBSTITUTE(SUBSTITUTE(Table2[[#This Row],[Standard Attributes List]]," ",""),".",""),"-","")</f>
        <v>OVERALLLENGTH(IN)</v>
      </c>
      <c r="C32" s="39" t="s">
        <v>89</v>
      </c>
      <c r="D32" s="25" t="str">
        <f>SUBSTITUTE(SUBSTITUTE(SUBSTITUTE(LEFT(Table2[[#This Row],[Reference]],FIND("=",Table2[[#This Row],[Reference]])-2)," ",""),".",""),"-","")</f>
        <v>OVERALLLENGTH(IN)</v>
      </c>
      <c r="E32" s="25" t="str">
        <f>TRIM(RIGHT(Table2[[#This Row],[Reference]],LEN(Table2[[#This Row],[Reference]])-FIND("=",Table2[[#This Row],[Reference]])-1))</f>
        <v>93</v>
      </c>
      <c r="F32" s="25" t="str">
        <f>VLOOKUP(Table2[[#This Row],[stripped attributes]],D:E,2,FALSE)</f>
        <v>93</v>
      </c>
      <c r="G32" s="22"/>
      <c r="H32" s="26" t="str">
        <f>CONCATENATE(Table2[[#This Row],[Standard Attributes List]]," = ",IF(Table2[[#This Row],[Overwrite Value]]="",Table2[[#This Row],[Ref. Value]],Table2[[#This Row],[Overwrite Value]]))</f>
        <v>OVERALL LENGTH (IN) = 93</v>
      </c>
      <c r="I32" s="27" t="str">
        <f>IF(Table2[[#This Row],[Reference]]=Table2[[#This Row],[Output]],"OK","NG")</f>
        <v>OK</v>
      </c>
      <c r="J32" s="28" t="str">
        <f>RIGHT(Table2[[#This Row],[Output]],LEN(Table2[[#This Row],[Output]])-FIND("=",Table2[[#This Row],[Output]])-1)</f>
        <v>93</v>
      </c>
      <c r="K32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2" s="39" t="s">
        <v>88</v>
      </c>
    </row>
    <row r="33" spans="1:13" ht="16" thickTop="1" thickBot="1">
      <c r="A33" s="29" t="s">
        <v>25</v>
      </c>
      <c r="B33" s="24" t="str">
        <f>SUBSTITUTE(SUBSTITUTE(SUBSTITUTE(Table2[[#This Row],[Standard Attributes List]]," ",""),".",""),"-","")</f>
        <v>PACKERENVELOPEPOINTSISOLATEDLOAD(LBS)</v>
      </c>
      <c r="C33" s="39" t="s">
        <v>90</v>
      </c>
      <c r="D33" s="25" t="str">
        <f>SUBSTITUTE(SUBSTITUTE(SUBSTITUTE(LEFT(Table2[[#This Row],[Reference]],FIND("=",Table2[[#This Row],[Reference]])-2)," ",""),".",""),"-","")</f>
        <v>PACKERENVELOPEPOINTSISOLATEDLOAD(LBS)</v>
      </c>
      <c r="E33" s="25" t="str">
        <f>TRIM(RIGHT(Table2[[#This Row],[Reference]],LEN(Table2[[#This Row],[Reference]])-FIND("=",Table2[[#This Row],[Reference]])-1))</f>
        <v>89113, 200000, 200000, 165000, 29067, -120000, -120000, -65508</v>
      </c>
      <c r="F33" s="25" t="str">
        <f>VLOOKUP(Table2[[#This Row],[stripped attributes]],D:E,2,FALSE)</f>
        <v>89113, 200000, 200000, 165000, 29067, -120000, -120000, -65508</v>
      </c>
      <c r="G33" s="22"/>
      <c r="H33" s="26" t="str">
        <f>CONCATENATE(Table2[[#This Row],[Standard Attributes List]]," = ",IF(Table2[[#This Row],[Overwrite Value]]="",Table2[[#This Row],[Ref. Value]],Table2[[#This Row],[Overwrite Value]]))</f>
        <v>PACKER ENVELOPE POINTS ISOLATED - LOAD (LBS) = 89113, 200000, 200000, 165000, 29067, -120000, -120000, -65508</v>
      </c>
      <c r="I33" s="27" t="str">
        <f>IF(Table2[[#This Row],[Reference]]=Table2[[#This Row],[Output]],"OK","NG")</f>
        <v>OK</v>
      </c>
      <c r="J33" s="28" t="str">
        <f>RIGHT(Table2[[#This Row],[Output]],LEN(Table2[[#This Row],[Output]])-FIND("=",Table2[[#This Row],[Output]])-1)</f>
        <v>89113, 200000, 200000, 165000, 29067, -120000, -120000, -65508</v>
      </c>
      <c r="K33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3" s="39" t="s">
        <v>89</v>
      </c>
    </row>
    <row r="34" spans="1:13" ht="16" thickTop="1" thickBot="1">
      <c r="A34" s="29" t="s">
        <v>26</v>
      </c>
      <c r="B34" s="24" t="str">
        <f>SUBSTITUTE(SUBSTITUTE(SUBSTITUTE(Table2[[#This Row],[Standard Attributes List]]," ",""),".",""),"-","")</f>
        <v>PACKERENVELOPEPOINTSISOLATEDPRESSURE(PSI)</v>
      </c>
      <c r="C34" s="39" t="s">
        <v>91</v>
      </c>
      <c r="D34" s="25" t="str">
        <f>SUBSTITUTE(SUBSTITUTE(SUBSTITUTE(LEFT(Table2[[#This Row],[Reference]],FIND("=",Table2[[#This Row],[Reference]])-2)," ",""),".",""),"-","")</f>
        <v>PACKERENVELOPEPOINTSISOLATEDPRESSURE(PSI)</v>
      </c>
      <c r="E34" s="25" t="str">
        <f>TRIM(RIGHT(Table2[[#This Row],[Reference]],LEN(Table2[[#This Row],[Reference]])-FIND("=",Table2[[#This Row],[Reference]])-1))</f>
        <v>-10000, -3928, 1430, 3211, 7500, 7500, -4445, -10000</v>
      </c>
      <c r="F34" s="25" t="str">
        <f>VLOOKUP(Table2[[#This Row],[stripped attributes]],D:E,2,FALSE)</f>
        <v>-10000, -3928, 1430, 3211, 7500, 7500, -4445, -10000</v>
      </c>
      <c r="G34" s="22"/>
      <c r="H34" s="26" t="str">
        <f>CONCATENATE(Table2[[#This Row],[Standard Attributes List]]," = ",IF(Table2[[#This Row],[Overwrite Value]]="",Table2[[#This Row],[Ref. Value]],Table2[[#This Row],[Overwrite Value]]))</f>
        <v>PACKER ENVELOPE POINTS ISOLATED - PRESSURE (PSI) = -10000, -3928, 1430, 3211, 7500, 7500, -4445, -10000</v>
      </c>
      <c r="I34" s="27" t="str">
        <f>IF(Table2[[#This Row],[Reference]]=Table2[[#This Row],[Output]],"OK","NG")</f>
        <v>OK</v>
      </c>
      <c r="J34" s="28" t="str">
        <f>RIGHT(Table2[[#This Row],[Output]],LEN(Table2[[#This Row],[Output]])-FIND("=",Table2[[#This Row],[Output]])-1)</f>
        <v>-10000, -3928, 1430, 3211, 7500, 7500, -4445, -10000</v>
      </c>
      <c r="K34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4" s="39" t="s">
        <v>90</v>
      </c>
    </row>
    <row r="35" spans="1:13" ht="16" thickTop="1" thickBot="1">
      <c r="A35" s="29" t="s">
        <v>27</v>
      </c>
      <c r="B35" s="24" t="str">
        <f>SUBSTITUTE(SUBSTITUTE(SUBSTITUTE(Table2[[#This Row],[Standard Attributes List]]," ",""),".",""),"-","")</f>
        <v>PACKERENVELOPEPOINTSPLUGGEDBELOWLOAD(LBS)</v>
      </c>
      <c r="C35" s="39" t="s">
        <v>92</v>
      </c>
      <c r="D35" s="25" t="str">
        <f>SUBSTITUTE(SUBSTITUTE(SUBSTITUTE(LEFT(Table2[[#This Row],[Reference]],FIND("=",Table2[[#This Row],[Reference]])-2)," ",""),".",""),"-","")</f>
        <v>PACKERENVELOPEPOINTSPLUGGEDBELOWLOAD(LBS)</v>
      </c>
      <c r="E35" s="25" t="str">
        <f>TRIM(RIGHT(Table2[[#This Row],[Reference]],LEN(Table2[[#This Row],[Reference]])-FIND("=",Table2[[#This Row],[Reference]])-1))</f>
        <v>135000, 200000, 200000, 165000, 29067, -120000, -120000, -35430</v>
      </c>
      <c r="F35" s="25" t="str">
        <f>VLOOKUP(Table2[[#This Row],[stripped attributes]],D:E,2,FALSE)</f>
        <v>135000, 200000, 200000, 165000, 29067, -120000, -120000, -35430</v>
      </c>
      <c r="G35" s="22"/>
      <c r="H35" s="26" t="str">
        <f>CONCATENATE(Table2[[#This Row],[Standard Attributes List]]," = ",IF(Table2[[#This Row],[Overwrite Value]]="",Table2[[#This Row],[Ref. Value]],Table2[[#This Row],[Overwrite Value]]))</f>
        <v>PACKER ENVELOPE POINTS PLUGGED - BELOW - LOAD (LBS) = 135000, 200000, 200000, 165000, 29067, -120000, -120000, -35430</v>
      </c>
      <c r="I35" s="27" t="str">
        <f>IF(Table2[[#This Row],[Reference]]=Table2[[#This Row],[Output]],"OK","NG")</f>
        <v>OK</v>
      </c>
      <c r="J35" s="28" t="str">
        <f>RIGHT(Table2[[#This Row],[Output]],LEN(Table2[[#This Row],[Output]])-FIND("=",Table2[[#This Row],[Output]])-1)</f>
        <v>135000, 200000, 200000, 165000, 29067, -120000, -120000, -35430</v>
      </c>
      <c r="K35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5" s="39" t="s">
        <v>91</v>
      </c>
    </row>
    <row r="36" spans="1:13" ht="16" thickTop="1" thickBot="1">
      <c r="A36" s="29" t="s">
        <v>28</v>
      </c>
      <c r="B36" s="24" t="str">
        <f>SUBSTITUTE(SUBSTITUTE(SUBSTITUTE(Table2[[#This Row],[Standard Attributes List]]," ",""),".",""),"-","")</f>
        <v>PACKERENVELOPEPOINTSPLUGGEDBELOWPRESSURE(PSI)</v>
      </c>
      <c r="C36" s="39" t="s">
        <v>93</v>
      </c>
      <c r="D36" s="25" t="str">
        <f>SUBSTITUTE(SUBSTITUTE(SUBSTITUTE(LEFT(Table2[[#This Row],[Reference]],FIND("=",Table2[[#This Row],[Reference]])-2)," ",""),".",""),"-","")</f>
        <v>PACKERENVELOPEPOINTSPLUGGEDBELOWPRESSURE(PSI)</v>
      </c>
      <c r="E36" s="25" t="str">
        <f>TRIM(RIGHT(Table2[[#This Row],[Reference]],LEN(Table2[[#This Row],[Reference]])-FIND("=",Table2[[#This Row],[Reference]])-1))</f>
        <v>-7500, -3928, 1430, 3211, 7500, 7500, -2551, -7500</v>
      </c>
      <c r="F36" s="25" t="str">
        <f>VLOOKUP(Table2[[#This Row],[stripped attributes]],D:E,2,FALSE)</f>
        <v>-7500, -3928, 1430, 3211, 7500, 7500, -2551, -7500</v>
      </c>
      <c r="G36" s="22"/>
      <c r="H36" s="26" t="str">
        <f>CONCATENATE(Table2[[#This Row],[Standard Attributes List]]," = ",IF(Table2[[#This Row],[Overwrite Value]]="",Table2[[#This Row],[Ref. Value]],Table2[[#This Row],[Overwrite Value]]))</f>
        <v>PACKER ENVELOPE POINTS PLUGGED - BELOW - PRESSURE (PSI) = -7500, -3928, 1430, 3211, 7500, 7500, -2551, -7500</v>
      </c>
      <c r="I36" s="27" t="str">
        <f>IF(Table2[[#This Row],[Reference]]=Table2[[#This Row],[Output]],"OK","NG")</f>
        <v>OK</v>
      </c>
      <c r="J36" s="28" t="str">
        <f>RIGHT(Table2[[#This Row],[Output]],LEN(Table2[[#This Row],[Output]])-FIND("=",Table2[[#This Row],[Output]])-1)</f>
        <v>-7500, -3928, 1430, 3211, 7500, 7500, -2551, -7500</v>
      </c>
      <c r="K36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6" s="39" t="s">
        <v>92</v>
      </c>
    </row>
    <row r="37" spans="1:13" ht="16" thickTop="1" thickBot="1">
      <c r="A37" s="29" t="s">
        <v>29</v>
      </c>
      <c r="B37" s="24" t="str">
        <f>SUBSTITUTE(SUBSTITUTE(SUBSTITUTE(Table2[[#This Row],[Standard Attributes List]]," ",""),".",""),"-","")</f>
        <v>PACKERENVELOPEPOINTSUNPLUGGEDLOAD(LBS)</v>
      </c>
      <c r="C37" s="39" t="s">
        <v>94</v>
      </c>
      <c r="D37" s="25" t="str">
        <f>SUBSTITUTE(SUBSTITUTE(SUBSTITUTE(LEFT(Table2[[#This Row],[Reference]],FIND("=",Table2[[#This Row],[Reference]])-2)," ",""),".",""),"-","")</f>
        <v>PACKERENVELOPEPOINTSUNPLUGGEDLOAD(LBS)</v>
      </c>
      <c r="E37" s="25" t="str">
        <f>TRIM(RIGHT(Table2[[#This Row],[Reference]],LEN(Table2[[#This Row],[Reference]])-FIND("=",Table2[[#This Row],[Reference]])-1))</f>
        <v>89113, 200000, 200000, 35000, -120000, -120000, -65508</v>
      </c>
      <c r="F37" s="25" t="str">
        <f>VLOOKUP(Table2[[#This Row],[stripped attributes]],D:E,2,FALSE)</f>
        <v>89113, 200000, 200000, 35000, -120000, -120000, -65508</v>
      </c>
      <c r="G37" s="22"/>
      <c r="H37" s="26" t="str">
        <f>CONCATENATE(Table2[[#This Row],[Standard Attributes List]]," = ",IF(Table2[[#This Row],[Overwrite Value]]="",Table2[[#This Row],[Ref. Value]],Table2[[#This Row],[Overwrite Value]]))</f>
        <v>PACKER ENVELOPE POINTS UNPLUGGED - LOAD (LBS) = 89113, 200000, 200000, 35000, -120000, -120000, -65508</v>
      </c>
      <c r="I37" s="27" t="str">
        <f>IF(Table2[[#This Row],[Reference]]=Table2[[#This Row],[Output]],"OK","NG")</f>
        <v>OK</v>
      </c>
      <c r="J37" s="28" t="str">
        <f>RIGHT(Table2[[#This Row],[Output]],LEN(Table2[[#This Row],[Output]])-FIND("=",Table2[[#This Row],[Output]])-1)</f>
        <v>89113, 200000, 200000, 35000, -120000, -120000, -65508</v>
      </c>
      <c r="K37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7" s="39" t="s">
        <v>93</v>
      </c>
    </row>
    <row r="38" spans="1:13" ht="16" thickTop="1" thickBot="1">
      <c r="A38" s="29" t="s">
        <v>30</v>
      </c>
      <c r="B38" s="24" t="str">
        <f>SUBSTITUTE(SUBSTITUTE(SUBSTITUTE(Table2[[#This Row],[Standard Attributes List]]," ",""),".",""),"-","")</f>
        <v>PACKERENVELOPEPOINTSUNPLUGGEDPRESSURE(PSI)</v>
      </c>
      <c r="C38" s="39" t="s">
        <v>95</v>
      </c>
      <c r="D38" s="25" t="str">
        <f>SUBSTITUTE(SUBSTITUTE(SUBSTITUTE(LEFT(Table2[[#This Row],[Reference]],FIND("=",Table2[[#This Row],[Reference]])-2)," ",""),".",""),"-","")</f>
        <v>PACKERENVELOPEPOINTSUNPLUGGEDPRESSURE(PSI)</v>
      </c>
      <c r="E38" s="25" t="str">
        <f>TRIM(RIGHT(Table2[[#This Row],[Reference]],LEN(Table2[[#This Row],[Reference]])-FIND("=",Table2[[#This Row],[Reference]])-1))</f>
        <v>-10000, -3928, 1430, 10000, 10000, -4445, -10000</v>
      </c>
      <c r="F38" s="25" t="str">
        <f>VLOOKUP(Table2[[#This Row],[stripped attributes]],D:E,2,FALSE)</f>
        <v>-10000, -3928, 1430, 10000, 10000, -4445, -10000</v>
      </c>
      <c r="G38" s="22"/>
      <c r="H38" s="26" t="str">
        <f>CONCATENATE(Table2[[#This Row],[Standard Attributes List]]," = ",IF(Table2[[#This Row],[Overwrite Value]]="",Table2[[#This Row],[Ref. Value]],Table2[[#This Row],[Overwrite Value]]))</f>
        <v>PACKER ENVELOPE POINTS UNPLUGGED - PRESSURE (PSI) = -10000, -3928, 1430, 10000, 10000, -4445, -10000</v>
      </c>
      <c r="I38" s="27" t="str">
        <f>IF(Table2[[#This Row],[Reference]]=Table2[[#This Row],[Output]],"OK","NG")</f>
        <v>OK</v>
      </c>
      <c r="J38" s="28" t="str">
        <f>RIGHT(Table2[[#This Row],[Output]],LEN(Table2[[#This Row],[Output]])-FIND("=",Table2[[#This Row],[Output]])-1)</f>
        <v>-10000, -3928, 1430, 10000, 10000, -4445, -10000</v>
      </c>
      <c r="K38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8" s="39" t="s">
        <v>94</v>
      </c>
    </row>
    <row r="39" spans="1:13" ht="16" thickTop="1" thickBot="1">
      <c r="A39" s="23" t="s">
        <v>41</v>
      </c>
      <c r="B39" s="24" t="str">
        <f>SUBSTITUTE(SUBSTITUTE(SUBSTITUTE(Table2[[#This Row],[Standard Attributes List]]," ",""),".",""),"-","")</f>
        <v>QUALITYCONTROLGRADE</v>
      </c>
      <c r="C39" s="39" t="s">
        <v>60</v>
      </c>
      <c r="D39" s="25" t="str">
        <f>SUBSTITUTE(SUBSTITUTE(SUBSTITUTE(LEFT(Table2[[#This Row],[Reference]],FIND("=",Table2[[#This Row],[Reference]])-2)," ",""),".",""),"-","")</f>
        <v>QUALITYCONTROLGRADE</v>
      </c>
      <c r="E39" s="25" t="str">
        <f>TRIM(RIGHT(Table2[[#This Row],[Reference]],LEN(Table2[[#This Row],[Reference]])-FIND("=",Table2[[#This Row],[Reference]])-1))</f>
        <v>Q3</v>
      </c>
      <c r="F39" s="25" t="str">
        <f>VLOOKUP(Table2[[#This Row],[stripped attributes]],D:E,2,FALSE)</f>
        <v>Q3</v>
      </c>
      <c r="G39" s="22"/>
      <c r="H39" s="26" t="str">
        <f>CONCATENATE(Table2[[#This Row],[Standard Attributes List]]," = ",IF(Table2[[#This Row],[Overwrite Value]]="",Table2[[#This Row],[Ref. Value]],Table2[[#This Row],[Overwrite Value]]))</f>
        <v>QUALITY CONTROL GRADE = Q3</v>
      </c>
      <c r="I39" s="27" t="str">
        <f>IF(Table2[[#This Row],[Reference]]=Table2[[#This Row],[Output]],"OK","NG")</f>
        <v>OK</v>
      </c>
      <c r="J39" s="28" t="str">
        <f>RIGHT(Table2[[#This Row],[Output]],LEN(Table2[[#This Row],[Output]])-FIND("=",Table2[[#This Row],[Output]])-1)</f>
        <v>Q3</v>
      </c>
      <c r="K39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9" s="39" t="s">
        <v>95</v>
      </c>
    </row>
    <row r="40" spans="1:13" ht="16" thickTop="1" thickBot="1">
      <c r="A40" s="23" t="s">
        <v>11</v>
      </c>
      <c r="B40" s="24" t="str">
        <f>SUBSTITUTE(SUBSTITUTE(SUBSTITUTE(Table2[[#This Row],[Standard Attributes List]]," ",""),".",""),"-","")</f>
        <v>QUALITYCONTROLPLANQCP</v>
      </c>
      <c r="C40" s="39" t="s">
        <v>55</v>
      </c>
      <c r="D40" s="25" t="str">
        <f>SUBSTITUTE(SUBSTITUTE(SUBSTITUTE(LEFT(Table2[[#This Row],[Reference]],FIND("=",Table2[[#This Row],[Reference]])-2)," ",""),".",""),"-","")</f>
        <v>QUALITYCONTROLPLANQCP</v>
      </c>
      <c r="E40" s="25" t="str">
        <f>TRIM(RIGHT(Table2[[#This Row],[Reference]],LEN(Table2[[#This Row],[Reference]])-FIND("=",Table2[[#This Row],[Reference]])-1))</f>
        <v>STD SLB</v>
      </c>
      <c r="F40" s="25" t="str">
        <f>VLOOKUP(Table2[[#This Row],[stripped attributes]],D:E,2,FALSE)</f>
        <v>STD SLB</v>
      </c>
      <c r="G40" s="22"/>
      <c r="H40" s="26" t="str">
        <f>CONCATENATE(Table2[[#This Row],[Standard Attributes List]]," = ",IF(Table2[[#This Row],[Overwrite Value]]="",Table2[[#This Row],[Ref. Value]],Table2[[#This Row],[Overwrite Value]]))</f>
        <v>QUALITY CONTROL PLAN - QCP = STD SLB</v>
      </c>
      <c r="I40" s="27" t="str">
        <f>IF(Table2[[#This Row],[Reference]]=Table2[[#This Row],[Output]],"OK","NG")</f>
        <v>OK</v>
      </c>
      <c r="J40" s="28" t="str">
        <f>RIGHT(Table2[[#This Row],[Output]],LEN(Table2[[#This Row],[Output]])-FIND("=",Table2[[#This Row],[Output]])-1)</f>
        <v>STD SLB</v>
      </c>
      <c r="K40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0" s="39" t="s">
        <v>60</v>
      </c>
    </row>
    <row r="41" spans="1:13" ht="16" thickTop="1" thickBot="1">
      <c r="A41" s="23" t="s">
        <v>42</v>
      </c>
      <c r="B41" s="24" t="str">
        <f>SUBSTITUTE(SUBSTITUTE(SUBSTITUTE(Table2[[#This Row],[Standard Attributes List]]," ",""),".",""),"-","")</f>
        <v>RETRIEVALMETHOD</v>
      </c>
      <c r="C41" s="39" t="s">
        <v>96</v>
      </c>
      <c r="D41" s="25" t="str">
        <f>SUBSTITUTE(SUBSTITUTE(SUBSTITUTE(LEFT(Table2[[#This Row],[Reference]],FIND("=",Table2[[#This Row],[Reference]])-2)," ",""),".",""),"-","")</f>
        <v>RETRIEVALMETHOD</v>
      </c>
      <c r="E41" s="25" t="str">
        <f>TRIM(RIGHT(Table2[[#This Row],[Reference]],LEN(Table2[[#This Row],[Reference]])-FIND("=",Table2[[#This Row],[Reference]])-1))</f>
        <v>CUT-TO-RELEASE</v>
      </c>
      <c r="F41" s="25" t="str">
        <f>VLOOKUP(Table2[[#This Row],[stripped attributes]],D:E,2,FALSE)</f>
        <v>CUT-TO-RELEASE</v>
      </c>
      <c r="G41" s="22"/>
      <c r="H41" s="26" t="str">
        <f>CONCATENATE(Table2[[#This Row],[Standard Attributes List]]," = ",IF(Table2[[#This Row],[Overwrite Value]]="",Table2[[#This Row],[Ref. Value]],Table2[[#This Row],[Overwrite Value]]))</f>
        <v>RETRIEVAL METHOD = CUT-TO-RELEASE</v>
      </c>
      <c r="I41" s="27" t="str">
        <f>IF(Table2[[#This Row],[Reference]]=Table2[[#This Row],[Output]],"OK","NG")</f>
        <v>OK</v>
      </c>
      <c r="J41" s="28" t="str">
        <f>RIGHT(Table2[[#This Row],[Output]],LEN(Table2[[#This Row],[Output]])-FIND("=",Table2[[#This Row],[Output]])-1)</f>
        <v>CUT-TO-RELEASE</v>
      </c>
      <c r="K41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1" s="39" t="s">
        <v>55</v>
      </c>
    </row>
    <row r="42" spans="1:13" ht="16" thickTop="1" thickBot="1">
      <c r="A42" s="23" t="s">
        <v>31</v>
      </c>
      <c r="B42" s="24" t="str">
        <f>SUBSTITUTE(SUBSTITUTE(SUBSTITUTE(Table2[[#This Row],[Standard Attributes List]]," ",""),".",""),"-","")</f>
        <v>SEALDIAMETER(IN)</v>
      </c>
      <c r="C42" s="39" t="s">
        <v>97</v>
      </c>
      <c r="D42" s="25" t="str">
        <f>SUBSTITUTE(SUBSTITUTE(SUBSTITUTE(LEFT(Table2[[#This Row],[Reference]],FIND("=",Table2[[#This Row],[Reference]])-2)," ",""),".",""),"-","")</f>
        <v>SEALDIAMETER(IN)</v>
      </c>
      <c r="E42" s="25" t="str">
        <f>TRIM(RIGHT(Table2[[#This Row],[Reference]],LEN(Table2[[#This Row],[Reference]])-FIND("=",Table2[[#This Row],[Reference]])-1))</f>
        <v>3.500</v>
      </c>
      <c r="F42" s="25" t="str">
        <f>VLOOKUP(Table2[[#This Row],[stripped attributes]],D:E,2,FALSE)</f>
        <v>3.500</v>
      </c>
      <c r="G42" s="22"/>
      <c r="H42" s="26" t="str">
        <f>CONCATENATE(Table2[[#This Row],[Standard Attributes List]]," = ",IF(Table2[[#This Row],[Overwrite Value]]="",Table2[[#This Row],[Ref. Value]],Table2[[#This Row],[Overwrite Value]]))</f>
        <v>SEAL DIAMETER (IN) = 3.500</v>
      </c>
      <c r="I42" s="27" t="str">
        <f>IF(Table2[[#This Row],[Reference]]=Table2[[#This Row],[Output]],"OK","NG")</f>
        <v>OK</v>
      </c>
      <c r="J42" s="28" t="str">
        <f>RIGHT(Table2[[#This Row],[Output]],LEN(Table2[[#This Row],[Output]])-FIND("=",Table2[[#This Row],[Output]])-1)</f>
        <v>3.500</v>
      </c>
      <c r="K42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2" s="39" t="s">
        <v>96</v>
      </c>
    </row>
    <row r="43" spans="1:13" ht="16" thickTop="1" thickBot="1">
      <c r="A43" s="23" t="s">
        <v>12</v>
      </c>
      <c r="B43" s="24" t="str">
        <f>SUBSTITUTE(SUBSTITUTE(SUBSTITUTE(Table2[[#This Row],[Standard Attributes List]]," ",""),".",""),"-","")</f>
        <v>SERVICENACE(YES/NO)</v>
      </c>
      <c r="C43" s="39" t="s">
        <v>49</v>
      </c>
      <c r="D43" s="25" t="str">
        <f>SUBSTITUTE(SUBSTITUTE(SUBSTITUTE(LEFT(Table2[[#This Row],[Reference]],FIND("=",Table2[[#This Row],[Reference]])-2)," ",""),".",""),"-","")</f>
        <v>SERVICENACE(YES/NO)</v>
      </c>
      <c r="E43" s="25" t="str">
        <f>TRIM(RIGHT(Table2[[#This Row],[Reference]],LEN(Table2[[#This Row],[Reference]])-FIND("=",Table2[[#This Row],[Reference]])-1))</f>
        <v>YES</v>
      </c>
      <c r="F43" s="25" t="str">
        <f>VLOOKUP(Table2[[#This Row],[stripped attributes]],D:E,2,FALSE)</f>
        <v>YES</v>
      </c>
      <c r="G43" s="22"/>
      <c r="H43" s="26" t="str">
        <f>CONCATENATE(Table2[[#This Row],[Standard Attributes List]]," = ",IF(Table2[[#This Row],[Overwrite Value]]="",Table2[[#This Row],[Ref. Value]],Table2[[#This Row],[Overwrite Value]]))</f>
        <v>SERVICE NACE (YES/NO) = YES</v>
      </c>
      <c r="I43" s="27" t="str">
        <f>IF(Table2[[#This Row],[Reference]]=Table2[[#This Row],[Output]],"OK","NG")</f>
        <v>OK</v>
      </c>
      <c r="J43" s="28" t="str">
        <f>RIGHT(Table2[[#This Row],[Output]],LEN(Table2[[#This Row],[Output]])-FIND("=",Table2[[#This Row],[Output]])-1)</f>
        <v>YES</v>
      </c>
      <c r="K43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3" s="39" t="s">
        <v>97</v>
      </c>
    </row>
    <row r="44" spans="1:13" ht="16" thickTop="1" thickBot="1">
      <c r="A44" s="23" t="s">
        <v>32</v>
      </c>
      <c r="B44" s="24" t="str">
        <f>SUBSTITUTE(SUBSTITUTE(SUBSTITUTE(Table2[[#This Row],[Standard Attributes List]]," ",""),".",""),"-","")</f>
        <v>SETTINGDIFFERENTIALPRESSURERECOMMENDED(MIN)(PSI)</v>
      </c>
      <c r="C44" s="39" t="s">
        <v>98</v>
      </c>
      <c r="D44" s="25" t="str">
        <f>SUBSTITUTE(SUBSTITUTE(SUBSTITUTE(LEFT(Table2[[#This Row],[Reference]],FIND("=",Table2[[#This Row],[Reference]])-2)," ",""),".",""),"-","")</f>
        <v>SETTINGDIFFERENTIALPRESSURERECOMMENDED(MIN)(PSI)</v>
      </c>
      <c r="E44" s="25" t="str">
        <f>TRIM(RIGHT(Table2[[#This Row],[Reference]],LEN(Table2[[#This Row],[Reference]])-FIND("=",Table2[[#This Row],[Reference]])-1))</f>
        <v>4000</v>
      </c>
      <c r="F44" s="25" t="str">
        <f>VLOOKUP(Table2[[#This Row],[stripped attributes]],D:E,2,FALSE)</f>
        <v>4000</v>
      </c>
      <c r="G44" s="22"/>
      <c r="H44" s="26" t="str">
        <f>CONCATENATE(Table2[[#This Row],[Standard Attributes List]]," = ",IF(Table2[[#This Row],[Overwrite Value]]="",Table2[[#This Row],[Ref. Value]],Table2[[#This Row],[Overwrite Value]]))</f>
        <v>SETTING DIFFERENTIAL PRESSURE - RECOMMENDED (MIN)(PSI) = 4000</v>
      </c>
      <c r="I44" s="27" t="str">
        <f>IF(Table2[[#This Row],[Reference]]=Table2[[#This Row],[Output]],"OK","NG")</f>
        <v>OK</v>
      </c>
      <c r="J44" s="28" t="str">
        <f>RIGHT(Table2[[#This Row],[Output]],LEN(Table2[[#This Row],[Output]])-FIND("=",Table2[[#This Row],[Output]])-1)</f>
        <v>4000</v>
      </c>
      <c r="K44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4" s="39" t="s">
        <v>49</v>
      </c>
    </row>
    <row r="45" spans="1:13" ht="16" thickTop="1" thickBot="1">
      <c r="A45" s="23" t="s">
        <v>43</v>
      </c>
      <c r="B45" s="24" t="str">
        <f>SUBSTITUTE(SUBSTITUTE(SUBSTITUTE(Table2[[#This Row],[Standard Attributes List]]," ",""),".",""),"-","")</f>
        <v>SETTINGMETHOD</v>
      </c>
      <c r="C45" s="39" t="s">
        <v>99</v>
      </c>
      <c r="D45" s="25" t="str">
        <f>SUBSTITUTE(SUBSTITUTE(SUBSTITUTE(LEFT(Table2[[#This Row],[Reference]],FIND("=",Table2[[#This Row],[Reference]])-2)," ",""),".",""),"-","")</f>
        <v>SETTINGMETHOD</v>
      </c>
      <c r="E45" s="25" t="str">
        <f>TRIM(RIGHT(Table2[[#This Row],[Reference]],LEN(Table2[[#This Row],[Reference]])-FIND("=",Table2[[#This Row],[Reference]])-1))</f>
        <v>HYDRAULIC</v>
      </c>
      <c r="F45" s="25" t="str">
        <f>VLOOKUP(Table2[[#This Row],[stripped attributes]],D:E,2,FALSE)</f>
        <v>HYDRAULIC</v>
      </c>
      <c r="G45" s="22"/>
      <c r="H45" s="26" t="str">
        <f>CONCATENATE(Table2[[#This Row],[Standard Attributes List]]," = ",IF(Table2[[#This Row],[Overwrite Value]]="",Table2[[#This Row],[Ref. Value]],Table2[[#This Row],[Overwrite Value]]))</f>
        <v>SETTING METHOD = HYDRAULIC</v>
      </c>
      <c r="I45" s="27" t="str">
        <f>IF(Table2[[#This Row],[Reference]]=Table2[[#This Row],[Output]],"OK","NG")</f>
        <v>OK</v>
      </c>
      <c r="J45" s="28" t="str">
        <f>RIGHT(Table2[[#This Row],[Output]],LEN(Table2[[#This Row],[Output]])-FIND("=",Table2[[#This Row],[Output]])-1)</f>
        <v>HYDRAULIC</v>
      </c>
      <c r="K45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5" s="39" t="s">
        <v>98</v>
      </c>
    </row>
    <row r="46" spans="1:13" ht="16" thickTop="1" thickBot="1">
      <c r="A46" s="23" t="s">
        <v>108</v>
      </c>
      <c r="B46" s="24" t="str">
        <f>SUBSTITUTE(SUBSTITUTE(SUBSTITUTE(Table2[[#This Row],[Standard Attributes List]]," ",""),".",""),"-","")</f>
        <v>SETTINGPRESSURE1STSHEAR(PSI)</v>
      </c>
      <c r="C46" s="39" t="s">
        <v>174</v>
      </c>
      <c r="D46" s="25" t="str">
        <f>SUBSTITUTE(SUBSTITUTE(SUBSTITUTE(LEFT(Table2[[#This Row],[Reference]],FIND("=",Table2[[#This Row],[Reference]])-2)," ",""),".",""),"-","")</f>
        <v>SETTINGPRESSURE1STSHEAR(PSI)</v>
      </c>
      <c r="E46" s="25" t="str">
        <f>TRIM(RIGHT(Table2[[#This Row],[Reference]],LEN(Table2[[#This Row],[Reference]])-FIND("=",Table2[[#This Row],[Reference]])-1))</f>
        <v>2047</v>
      </c>
      <c r="F46" s="25" t="str">
        <f>VLOOKUP(Table2[[#This Row],[stripped attributes]],D:E,2,FALSE)</f>
        <v>2047</v>
      </c>
      <c r="G46" s="22"/>
      <c r="H46" s="26" t="str">
        <f>CONCATENATE(Table2[[#This Row],[Standard Attributes List]]," = ",IF(Table2[[#This Row],[Overwrite Value]]="",Table2[[#This Row],[Ref. Value]],Table2[[#This Row],[Overwrite Value]]))</f>
        <v>SETTING PRESSURE 1ST SHEAR (PSI) = 2047</v>
      </c>
      <c r="I46" s="27" t="str">
        <f>IF(Table2[[#This Row],[Reference]]=Table2[[#This Row],[Output]],"OK","NG")</f>
        <v>OK</v>
      </c>
      <c r="J46" s="28" t="str">
        <f>RIGHT(Table2[[#This Row],[Output]],LEN(Table2[[#This Row],[Output]])-FIND("=",Table2[[#This Row],[Output]])-1)</f>
        <v>2047</v>
      </c>
      <c r="K46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6" s="39" t="s">
        <v>99</v>
      </c>
    </row>
    <row r="47" spans="1:13" ht="16" thickTop="1" thickBot="1">
      <c r="A47" s="23" t="s">
        <v>109</v>
      </c>
      <c r="B47" s="24" t="str">
        <f>SUBSTITUTE(SUBSTITUTE(SUBSTITUTE(Table2[[#This Row],[Standard Attributes List]]," ",""),".",""),"-","")</f>
        <v>SETTINGPRESSURESLIPENGAGEMENT(PSI)</v>
      </c>
      <c r="C47" s="39" t="s">
        <v>175</v>
      </c>
      <c r="D47" s="25" t="str">
        <f>SUBSTITUTE(SUBSTITUTE(SUBSTITUTE(LEFT(Table2[[#This Row],[Reference]],FIND("=",Table2[[#This Row],[Reference]])-2)," ",""),".",""),"-","")</f>
        <v>SETTINGPRESSURESLIPENGAGEMENT(PSI)</v>
      </c>
      <c r="E47" s="25" t="str">
        <f>TRIM(RIGHT(Table2[[#This Row],[Reference]],LEN(Table2[[#This Row],[Reference]])-FIND("=",Table2[[#This Row],[Reference]])-1))</f>
        <v>2359</v>
      </c>
      <c r="F47" s="25" t="str">
        <f>VLOOKUP(Table2[[#This Row],[stripped attributes]],D:E,2,FALSE)</f>
        <v>2359</v>
      </c>
      <c r="G47" s="22"/>
      <c r="H47" s="26" t="str">
        <f>CONCATENATE(Table2[[#This Row],[Standard Attributes List]]," = ",IF(Table2[[#This Row],[Overwrite Value]]="",Table2[[#This Row],[Ref. Value]],Table2[[#This Row],[Overwrite Value]]))</f>
        <v>SETTING PRESSURE SLIP ENGAGEMENT (PSI) = 2359</v>
      </c>
      <c r="I47" s="27" t="str">
        <f>IF(Table2[[#This Row],[Reference]]=Table2[[#This Row],[Output]],"OK","NG")</f>
        <v>OK</v>
      </c>
      <c r="J47" s="28" t="str">
        <f>RIGHT(Table2[[#This Row],[Output]],LEN(Table2[[#This Row],[Output]])-FIND("=",Table2[[#This Row],[Output]])-1)</f>
        <v>2359</v>
      </c>
      <c r="K47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7" s="39" t="s">
        <v>174</v>
      </c>
    </row>
    <row r="48" spans="1:13" ht="16" thickTop="1" thickBot="1">
      <c r="A48" s="23" t="s">
        <v>13</v>
      </c>
      <c r="B48" s="24" t="str">
        <f>SUBSTITUTE(SUBSTITUTE(SUBSTITUTE(Table2[[#This Row],[Standard Attributes List]]," ",""),".",""),"-","")</f>
        <v>TENSILESTRENGTH(LBS)EOECATSPECIFIEDTEMP(F)</v>
      </c>
      <c r="C48" s="39" t="s">
        <v>176</v>
      </c>
      <c r="D48" s="25" t="str">
        <f>SUBSTITUTE(SUBSTITUTE(SUBSTITUTE(LEFT(Table2[[#This Row],[Reference]],FIND("=",Table2[[#This Row],[Reference]])-2)," ",""),".",""),"-","")</f>
        <v>TENSILESTRENGTH(LBS)EOECATSPECIFIEDTEMP(F)</v>
      </c>
      <c r="E48" s="25" t="str">
        <f>TRIM(RIGHT(Table2[[#This Row],[Reference]],LEN(Table2[[#This Row],[Reference]])-FIND("=",Table2[[#This Row],[Reference]])-1))</f>
        <v>200000[325]</v>
      </c>
      <c r="F48" s="25" t="str">
        <f>VLOOKUP(Table2[[#This Row],[stripped attributes]],D:E,2,FALSE)</f>
        <v>200000[325]</v>
      </c>
      <c r="G48" s="22"/>
      <c r="H48" s="26" t="str">
        <f>CONCATENATE(Table2[[#This Row],[Standard Attributes List]]," = ",IF(Table2[[#This Row],[Overwrite Value]]="",Table2[[#This Row],[Ref. Value]],Table2[[#This Row],[Overwrite Value]]))</f>
        <v>TENSILE STRENGTH (LBS) - EOEC AT SPECIFIED TEMP (F) = 200000[325]</v>
      </c>
      <c r="I48" s="27" t="str">
        <f>IF(Table2[[#This Row],[Reference]]=Table2[[#This Row],[Output]],"OK","NG")</f>
        <v>OK</v>
      </c>
      <c r="J48" s="28" t="str">
        <f>RIGHT(Table2[[#This Row],[Output]],LEN(Table2[[#This Row],[Output]])-FIND("=",Table2[[#This Row],[Output]])-1)</f>
        <v>200000[325]</v>
      </c>
      <c r="K48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8" s="39" t="s">
        <v>175</v>
      </c>
    </row>
    <row r="49" spans="1:13" ht="16" thickTop="1" thickBot="1">
      <c r="A49" s="23" t="s">
        <v>44</v>
      </c>
      <c r="B49" s="24" t="str">
        <f>SUBSTITUTE(SUBSTITUTE(SUBSTITUTE(Table2[[#This Row],[Standard Attributes List]]," ",""),".",""),"-","")</f>
        <v>TORQUECAPACITYEOEC(FTLBS)</v>
      </c>
      <c r="C49" s="39" t="s">
        <v>100</v>
      </c>
      <c r="D49" s="25" t="str">
        <f>SUBSTITUTE(SUBSTITUTE(SUBSTITUTE(LEFT(Table2[[#This Row],[Reference]],FIND("=",Table2[[#This Row],[Reference]])-2)," ",""),".",""),"-","")</f>
        <v>TORQUECAPACITYEOEC(FTLBS)</v>
      </c>
      <c r="E49" s="25" t="str">
        <f>TRIM(RIGHT(Table2[[#This Row],[Reference]],LEN(Table2[[#This Row],[Reference]])-FIND("=",Table2[[#This Row],[Reference]])-1))</f>
        <v>3900</v>
      </c>
      <c r="F49" s="25" t="str">
        <f>VLOOKUP(Table2[[#This Row],[stripped attributes]],D:E,2,FALSE)</f>
        <v>3900</v>
      </c>
      <c r="G49" s="22"/>
      <c r="H49" s="26" t="str">
        <f>CONCATENATE(Table2[[#This Row],[Standard Attributes List]]," = ",IF(Table2[[#This Row],[Overwrite Value]]="",Table2[[#This Row],[Ref. Value]],Table2[[#This Row],[Overwrite Value]]))</f>
        <v>TORQUE CAPACITY - EOEC (FT-LBS) = 3900</v>
      </c>
      <c r="I49" s="27" t="str">
        <f>IF(Table2[[#This Row],[Reference]]=Table2[[#This Row],[Output]],"OK","NG")</f>
        <v>OK</v>
      </c>
      <c r="J49" s="28" t="str">
        <f>RIGHT(Table2[[#This Row],[Output]],LEN(Table2[[#This Row],[Output]])-FIND("=",Table2[[#This Row],[Output]])-1)</f>
        <v>3900</v>
      </c>
      <c r="K49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9" s="39" t="s">
        <v>278</v>
      </c>
    </row>
    <row r="50" spans="1:13" ht="16" thickTop="1" thickBot="1">
      <c r="A50" s="23" t="s">
        <v>14</v>
      </c>
      <c r="B50" s="24" t="str">
        <f>SUBSTITUTE(SUBSTITUTE(SUBSTITUTE(Table2[[#This Row],[Standard Attributes List]]," ",""),".",""),"-","")</f>
        <v>UPPERTHREADCONNECTINGSIZE(IN),WT(PPF),TYPE,CONFIG</v>
      </c>
      <c r="C50" s="39" t="s">
        <v>177</v>
      </c>
      <c r="D50" s="25" t="str">
        <f>SUBSTITUTE(SUBSTITUTE(SUBSTITUTE(LEFT(Table2[[#This Row],[Reference]],FIND("=",Table2[[#This Row],[Reference]])-2)," ",""),".",""),"-","")</f>
        <v>UPPERTHREADCONNECTINGSIZE(IN),WT(PPF),TYPE,CONFIG</v>
      </c>
      <c r="E50" s="25" t="str">
        <f>TRIM(RIGHT(Table2[[#This Row],[Reference]],LEN(Table2[[#This Row],[Reference]])-FIND("=",Table2[[#This Row],[Reference]])-1))</f>
        <v>3.500, 9.2, JFEBEAR, BOX</v>
      </c>
      <c r="F50" s="25" t="str">
        <f>VLOOKUP(Table2[[#This Row],[stripped attributes]],D:E,2,FALSE)</f>
        <v>3.500, 9.2, JFEBEAR, BOX</v>
      </c>
      <c r="G50" s="22"/>
      <c r="H50" s="26" t="str">
        <f>CONCATENATE(Table2[[#This Row],[Standard Attributes List]]," = ",IF(Table2[[#This Row],[Overwrite Value]]="",Table2[[#This Row],[Ref. Value]],Table2[[#This Row],[Overwrite Value]]))</f>
        <v>UPPER THREAD CONNECTING - SIZE (IN), WT (PPF), TYPE, CONFIG = 3.500, 9.2, JFEBEAR, BOX</v>
      </c>
      <c r="I50" s="27" t="str">
        <f>IF(Table2[[#This Row],[Reference]]=Table2[[#This Row],[Output]],"OK","NG")</f>
        <v>OK</v>
      </c>
      <c r="J50" s="28" t="str">
        <f>RIGHT(Table2[[#This Row],[Output]],LEN(Table2[[#This Row],[Output]])-FIND("=",Table2[[#This Row],[Output]])-1)</f>
        <v>3.500, 9.2, JFEBEAR, BOX</v>
      </c>
      <c r="K50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50" s="39" t="s">
        <v>100</v>
      </c>
    </row>
    <row r="51" spans="1:13" ht="16" thickTop="1" thickBot="1">
      <c r="A51" s="23"/>
      <c r="B51" s="41" t="str">
        <f>SUBSTITUTE(SUBSTITUTE(SUBSTITUTE(Table2[[#This Row],[Standard Attributes List]]," ",""),".",""),"-","")</f>
        <v/>
      </c>
      <c r="C51" s="39"/>
      <c r="D51" s="42" t="e">
        <f>SUBSTITUTE(SUBSTITUTE(SUBSTITUTE(LEFT(Table2[[#This Row],[Reference]],FIND("=",Table2[[#This Row],[Reference]])-2)," ",""),",",""),"-","")</f>
        <v>#VALUE!</v>
      </c>
      <c r="E51" s="42" t="e">
        <f>TRIM(RIGHT(Table2[[#This Row],[Reference]],LEN(Table2[[#This Row],[Reference]])-FIND("=",Table2[[#This Row],[Reference]])-1))</f>
        <v>#VALUE!</v>
      </c>
      <c r="F51" s="43" t="e">
        <f>VLOOKUP(Table2[[#This Row],[stripped attributes]],D:E,2,FALSE)</f>
        <v>#N/A</v>
      </c>
      <c r="G51" s="22"/>
      <c r="H51" s="40" t="e">
        <f>CONCATENATE(Table2[[#This Row],[Standard Attributes List]]," = ",IF(Table2[[#This Row],[Overwrite Value]]="",Table2[[#This Row],[Ref. Value]],Table2[[#This Row],[Overwrite Value]]))</f>
        <v>#N/A</v>
      </c>
      <c r="I51" s="44"/>
      <c r="J51" s="41" t="e">
        <f>RIGHT(Table2[[#This Row],[Output]],LEN(Table2[[#This Row],[Output]])-FIND("=",Table2[[#This Row],[Output]])-1)</f>
        <v>#N/A</v>
      </c>
      <c r="K51" s="24" t="e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>#N/A</v>
      </c>
      <c r="M51" s="39" t="s">
        <v>279</v>
      </c>
    </row>
    <row r="52" spans="1:13" ht="15" thickTop="1"/>
  </sheetData>
  <sheetProtection selectLockedCells="1"/>
  <phoneticPr fontId="27" type="noConversion"/>
  <conditionalFormatting sqref="H2:H51">
    <cfRule type="expression" dxfId="26" priority="6">
      <formula>ISERROR($H2)</formula>
    </cfRule>
  </conditionalFormatting>
  <conditionalFormatting sqref="H52:I61">
    <cfRule type="expression" dxfId="25" priority="4">
      <formula>ISERROR($H52)</formula>
    </cfRule>
  </conditionalFormatting>
  <conditionalFormatting sqref="I2:I51">
    <cfRule type="expression" dxfId="24" priority="2">
      <formula>$I2="OK"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N61"/>
  <sheetViews>
    <sheetView zoomScale="70" zoomScaleNormal="70" workbookViewId="0">
      <selection activeCell="C19" sqref="C19"/>
    </sheetView>
  </sheetViews>
  <sheetFormatPr baseColWidth="10" defaultColWidth="8.83203125" defaultRowHeight="14"/>
  <cols>
    <col min="1" max="1" width="62.83203125" customWidth="1"/>
    <col min="2" max="2" width="58.1640625" hidden="1" customWidth="1"/>
    <col min="3" max="3" width="27" customWidth="1"/>
    <col min="4" max="4" width="86.33203125" hidden="1" customWidth="1"/>
    <col min="5" max="5" width="36.6640625" hidden="1" customWidth="1"/>
    <col min="6" max="6" width="32.1640625" customWidth="1"/>
    <col min="7" max="7" width="25.33203125" style="21" bestFit="1" customWidth="1"/>
    <col min="8" max="8" width="85.1640625" bestFit="1" customWidth="1"/>
    <col min="9" max="9" width="23" hidden="1" customWidth="1"/>
    <col min="10" max="10" width="26.5" hidden="1" customWidth="1"/>
    <col min="11" max="11" width="133" hidden="1" customWidth="1"/>
    <col min="12" max="12" width="20.1640625" bestFit="1" customWidth="1"/>
    <col min="14" max="14" width="11" customWidth="1"/>
  </cols>
  <sheetData>
    <row r="1" spans="1:12" ht="15" thickBot="1">
      <c r="A1" s="5" t="s">
        <v>34</v>
      </c>
      <c r="B1" s="1" t="s">
        <v>54</v>
      </c>
      <c r="C1" s="5" t="s">
        <v>33</v>
      </c>
      <c r="D1" s="1" t="s">
        <v>45</v>
      </c>
      <c r="E1" s="5" t="s">
        <v>47</v>
      </c>
      <c r="F1" s="5" t="s">
        <v>46</v>
      </c>
      <c r="G1" s="18" t="s">
        <v>58</v>
      </c>
      <c r="H1" s="5" t="s">
        <v>35</v>
      </c>
      <c r="I1" s="5" t="s">
        <v>61</v>
      </c>
      <c r="J1" s="10" t="s">
        <v>48</v>
      </c>
      <c r="K1" s="13" t="s">
        <v>56</v>
      </c>
      <c r="L1" s="13" t="s">
        <v>169</v>
      </c>
    </row>
    <row r="2" spans="1:12" ht="16" thickTop="1" thickBot="1">
      <c r="A2" s="7" t="s">
        <v>0</v>
      </c>
      <c r="B2" s="2" t="str">
        <f>SUBSTITUTE(SUBSTITUTE(SUBSTITUTE(Table22[[#This Row],[Standard Attributes List]]," ",""),".",""),"-","")</f>
        <v>ACTIVEFLOWWETTEDMATERIALYIELDSTRENGTH(KSI)</v>
      </c>
      <c r="C2" s="3" t="s">
        <v>110</v>
      </c>
      <c r="D2" s="3" t="str">
        <f>SUBSTITUTE(SUBSTITUTE(SUBSTITUTE(LEFT(Table22[[#This Row],[Reference]],FIND("=",Table22[[#This Row],[Reference]])-2)," ",""),".",""),"-","")</f>
        <v>ACTIVEFLOWWETTEDMATERIALYIELDSTRENGTH(KSI)</v>
      </c>
      <c r="E2" s="3" t="str">
        <f>TRIM(RIGHT(Table22[[#This Row],[Reference]],LEN(Table22[[#This Row],[Reference]])-FIND("=",Table22[[#This Row],[Reference]])-1))</f>
        <v>4130/4140[80], 925/718[110]</v>
      </c>
      <c r="F2" s="3" t="str">
        <f>VLOOKUP(Table22[[#This Row],[Column1]],D:E,2,FALSE)</f>
        <v>4130/4140[80], 925/718[110]</v>
      </c>
      <c r="G2" s="8" t="s">
        <v>150</v>
      </c>
      <c r="H2" s="4" t="str">
        <f>CONCATENATE(Table22[[#This Row],[Standard Attributes List]]," = ",IF(Table22[[#This Row],[Overwrite Value]]="",Table22[[#This Row],[Ref. Value]],Table22[[#This Row],[Overwrite Value]]))</f>
        <v>ACTIVE FLOW WETTED MATERIAL - YIELD STRENGTH (KSI) = 4130/4140[80], 925/718[110]</v>
      </c>
      <c r="I2" t="str">
        <f>IF(Table22[[#This Row],[Reference]]=Table22[[#This Row],[Output]],"OK","NG")</f>
        <v>OK</v>
      </c>
      <c r="J2" s="9" t="str">
        <f>RIGHT(Table22[[#This Row],[Output]],LEN(Table22[[#This Row],[Output]])-FIND("=",Table22[[#This Row],[Output]])-1)</f>
        <v>4130/4140[80], 925/718[110]</v>
      </c>
      <c r="K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ACTIVE FLOW WETTED MATERIAL - YIELD STRENGTH (KSI) CHANGED TO "4130/4140[80], 925/718[110]"</v>
      </c>
      <c r="L2" t="str">
        <f>IF(CLEAN(Table22[[#This Row],[Ref. Value]])=CLEAN(Table22[[#This Row],[Overwrite Value]]),"OK","NG")</f>
        <v>OK</v>
      </c>
    </row>
    <row r="3" spans="1:12" ht="16" thickTop="1" thickBot="1">
      <c r="A3" s="7" t="s">
        <v>1</v>
      </c>
      <c r="B3" s="2" t="str">
        <f>SUBSTITUTE(SUBSTITUTE(SUBSTITUTE(Table22[[#This Row],[Standard Attributes List]]," ",""),".",""),"-","")</f>
        <v>APPROXIMATEWEIGHT(LBS)</v>
      </c>
      <c r="C3" s="3" t="s">
        <v>111</v>
      </c>
      <c r="D3" s="3" t="str">
        <f>SUBSTITUTE(SUBSTITUTE(SUBSTITUTE(LEFT(Table22[[#This Row],[Reference]],FIND("=",Table22[[#This Row],[Reference]])-2)," ",""),".",""),"-","")</f>
        <v>APPROXIMATEWEIGHT(LBS)</v>
      </c>
      <c r="E3" s="3" t="str">
        <f>TRIM(RIGHT(Table22[[#This Row],[Reference]],LEN(Table22[[#This Row],[Reference]])-FIND("=",Table22[[#This Row],[Reference]])-1))</f>
        <v>850</v>
      </c>
      <c r="F3" s="3" t="str">
        <f>VLOOKUP(Table22[[#This Row],[Column1]],D:E,2,FALSE)</f>
        <v>850</v>
      </c>
      <c r="G3" s="19" t="s">
        <v>170</v>
      </c>
      <c r="H3" s="4" t="str">
        <f>CONCATENATE(Table22[[#This Row],[Standard Attributes List]]," = ",IF(Table22[[#This Row],[Overwrite Value]]="",Table22[[#This Row],[Ref. Value]],Table22[[#This Row],[Overwrite Value]]))</f>
        <v>APPROXIMATE WEIGHT (LBS) = 850</v>
      </c>
      <c r="I3" t="str">
        <f>IF(Table22[[#This Row],[Reference]]=Table22[[#This Row],[Output]],"OK","NG")</f>
        <v>OK</v>
      </c>
      <c r="J3" s="9" t="str">
        <f>RIGHT(Table22[[#This Row],[Output]],LEN(Table22[[#This Row],[Output]])-FIND("=",Table22[[#This Row],[Output]])-1)</f>
        <v>850</v>
      </c>
      <c r="K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APPROXIMATE WEIGHT (LBS) CHANGED TO "850"</v>
      </c>
      <c r="L3" t="str">
        <f>IF(CLEAN(Table22[[#This Row],[Ref. Value]])=CLEAN(Table22[[#This Row],[Overwrite Value]]),"OK","NG")</f>
        <v>OK</v>
      </c>
    </row>
    <row r="4" spans="1:12" ht="16" thickTop="1" thickBot="1">
      <c r="A4" s="7" t="s">
        <v>15</v>
      </c>
      <c r="B4" s="2" t="str">
        <f>SUBSTITUTE(SUBSTITUTE(SUBSTITUTE(Table22[[#This Row],[Standard Attributes List]]," ",""),".",""),"-","")</f>
        <v>CASINGSIZE(IN)</v>
      </c>
      <c r="C4" s="3" t="s">
        <v>112</v>
      </c>
      <c r="D4" s="3" t="str">
        <f>SUBSTITUTE(SUBSTITUTE(SUBSTITUTE(LEFT(Table22[[#This Row],[Reference]],FIND("=",Table22[[#This Row],[Reference]])-2)," ",""),".",""),"-","")</f>
        <v>CASINGSIZE(IN)</v>
      </c>
      <c r="E4" s="3" t="str">
        <f>TRIM(RIGHT(Table22[[#This Row],[Reference]],LEN(Table22[[#This Row],[Reference]])-FIND("=",Table22[[#This Row],[Reference]])-1))</f>
        <v>10-3/4</v>
      </c>
      <c r="F4" s="3" t="str">
        <f>VLOOKUP(Table22[[#This Row],[Column1]],D:E,2,FALSE)</f>
        <v>10-3/4</v>
      </c>
      <c r="G4" s="19" t="s">
        <v>167</v>
      </c>
      <c r="H4" s="4" t="str">
        <f>CONCATENATE(Table22[[#This Row],[Standard Attributes List]]," = ",IF(Table22[[#This Row],[Overwrite Value]]="",Table22[[#This Row],[Ref. Value]],Table22[[#This Row],[Overwrite Value]]))</f>
        <v>CASING SIZE (IN) = 10-3/4</v>
      </c>
      <c r="I4" t="str">
        <f>IF(Table22[[#This Row],[Reference]]=Table22[[#This Row],[Output]],"OK","NG")</f>
        <v>OK</v>
      </c>
      <c r="J4" s="9" t="str">
        <f>RIGHT(Table22[[#This Row],[Output]],LEN(Table22[[#This Row],[Output]])-FIND("=",Table22[[#This Row],[Output]])-1)</f>
        <v>10-3/4</v>
      </c>
      <c r="K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CASING SIZE (IN) CHANGED TO "10-3/4"</v>
      </c>
      <c r="L4" t="str">
        <f>IF(CLEAN(Table22[[#This Row],[Ref. Value]])=CLEAN(Table22[[#This Row],[Overwrite Value]]),"OK","NG")</f>
        <v>OK</v>
      </c>
    </row>
    <row r="5" spans="1:12" ht="16" thickTop="1" thickBot="1">
      <c r="A5" s="7" t="s">
        <v>16</v>
      </c>
      <c r="B5" s="2" t="str">
        <f>SUBSTITUTE(SUBSTITUTE(SUBSTITUTE(Table22[[#This Row],[Standard Attributes List]]," ",""),".",""),"-","")</f>
        <v>CASINGWEIGHTRANGE(PPF)</v>
      </c>
      <c r="C5" s="3" t="s">
        <v>113</v>
      </c>
      <c r="D5" s="3" t="str">
        <f>SUBSTITUTE(SUBSTITUTE(SUBSTITUTE(LEFT(Table22[[#This Row],[Reference]],FIND("=",Table22[[#This Row],[Reference]])-2)," ",""),".",""),"-","")</f>
        <v>CASINGWEIGHTRANGE(PPF)</v>
      </c>
      <c r="E5" s="3" t="str">
        <f>TRIM(RIGHT(Table22[[#This Row],[Reference]],LEN(Table22[[#This Row],[Reference]])-FIND("=",Table22[[#This Row],[Reference]])-1))</f>
        <v>60.7</v>
      </c>
      <c r="F5" s="3" t="str">
        <f>VLOOKUP(Table22[[#This Row],[Column1]],D:E,2,FALSE)</f>
        <v>60.7</v>
      </c>
      <c r="G5" s="8">
        <v>60.7</v>
      </c>
      <c r="H5" s="4" t="str">
        <f>CONCATENATE(Table22[[#This Row],[Standard Attributes List]]," = ",IF(Table22[[#This Row],[Overwrite Value]]="",Table22[[#This Row],[Ref. Value]],Table22[[#This Row],[Overwrite Value]]))</f>
        <v>CASING WEIGHT RANGE (PPF) = 60.7</v>
      </c>
      <c r="I5" t="str">
        <f>IF(Table22[[#This Row],[Reference]]=Table22[[#This Row],[Output]],"OK","NG")</f>
        <v>OK</v>
      </c>
      <c r="J5" s="9" t="str">
        <f>RIGHT(Table22[[#This Row],[Output]],LEN(Table22[[#This Row],[Output]])-FIND("=",Table22[[#This Row],[Output]])-1)</f>
        <v>60.7</v>
      </c>
      <c r="K5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CASING WEIGHT RANGE (PPF) CHANGED TO "60.7"</v>
      </c>
      <c r="L5" t="str">
        <f>IF(CLEAN(Table22[[#This Row],[Ref. Value]])=CLEAN(Table22[[#This Row],[Overwrite Value]]),"OK","NG")</f>
        <v>OK</v>
      </c>
    </row>
    <row r="6" spans="1:12" ht="16" thickTop="1" thickBot="1">
      <c r="A6" s="7" t="s">
        <v>17</v>
      </c>
      <c r="B6" s="2" t="str">
        <f>SUBSTITUTE(SUBSTITUTE(SUBSTITUTE(Table22[[#This Row],[Standard Attributes List]]," ",""),".",""),"-","")</f>
        <v>CERTIFICATIONSTATUS</v>
      </c>
      <c r="C6" s="3" t="s">
        <v>114</v>
      </c>
      <c r="D6" s="3" t="str">
        <f>SUBSTITUTE(SUBSTITUTE(SUBSTITUTE(LEFT(Table22[[#This Row],[Reference]],FIND("=",Table22[[#This Row],[Reference]])-2)," ",""),".",""),"-","")</f>
        <v>CERTIFICATIONSTATUS</v>
      </c>
      <c r="E6" s="3" t="str">
        <f>TRIM(RIGHT(Table22[[#This Row],[Reference]],LEN(Table22[[#This Row],[Reference]])-FIND("=",Table22[[#This Row],[Reference]])-1))</f>
        <v>ISO-V0[40-160F]</v>
      </c>
      <c r="F6" s="3" t="str">
        <f>VLOOKUP(Table22[[#This Row],[Column1]],D:E,2,FALSE)</f>
        <v>ISO-V0[40-160F]</v>
      </c>
      <c r="G6" s="19" t="s">
        <v>151</v>
      </c>
      <c r="H6" s="4" t="str">
        <f>CONCATENATE(Table22[[#This Row],[Standard Attributes List]]," = ",IF(Table22[[#This Row],[Overwrite Value]]="",Table22[[#This Row],[Ref. Value]],Table22[[#This Row],[Overwrite Value]]))</f>
        <v>CERTIFICATION STATUS = ISO-V0[40-160F]</v>
      </c>
      <c r="I6" t="str">
        <f>IF(Table22[[#This Row],[Reference]]=Table22[[#This Row],[Output]],"OK","NG")</f>
        <v>OK</v>
      </c>
      <c r="J6" s="9" t="str">
        <f>RIGHT(Table22[[#This Row],[Output]],LEN(Table22[[#This Row],[Output]])-FIND("=",Table22[[#This Row],[Output]])-1)</f>
        <v>ISO-V0[40-160F]</v>
      </c>
      <c r="K6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CERTIFICATION STATUS CHANGED TO "ISO-V0[40-160F]"</v>
      </c>
      <c r="L6" t="str">
        <f>IF(CLEAN(Table22[[#This Row],[Ref. Value]])=CLEAN(Table22[[#This Row],[Overwrite Value]]),"OK","NG")</f>
        <v>OK</v>
      </c>
    </row>
    <row r="7" spans="1:12" ht="16" thickTop="1" thickBot="1">
      <c r="A7" s="7" t="s">
        <v>148</v>
      </c>
      <c r="B7" s="2" t="str">
        <f>SUBSTITUTE(SUBSTITUTE(SUBSTITUTE(Table22[[#This Row],[Standard Attributes List]]," ",""),".",""),"-","")</f>
        <v>CONTROLLINESET</v>
      </c>
      <c r="C7" s="3" t="s">
        <v>115</v>
      </c>
      <c r="D7" s="3" t="str">
        <f>SUBSTITUTE(SUBSTITUTE(SUBSTITUTE(LEFT(Table22[[#This Row],[Reference]],FIND("=",Table22[[#This Row],[Reference]])-2)," ",""),".",""),"-","")</f>
        <v>CONTROLLINESET</v>
      </c>
      <c r="E7" s="3" t="str">
        <f>TRIM(RIGHT(Table22[[#This Row],[Reference]],LEN(Table22[[#This Row],[Reference]])-FIND("=",Table22[[#This Row],[Reference]])-1))</f>
        <v>3/8 HDMC BELOW</v>
      </c>
      <c r="F7" s="3" t="str">
        <f>VLOOKUP(Table22[[#This Row],[Column1]],D:E,2,FALSE)</f>
        <v>3/8 HDMC BELOW</v>
      </c>
      <c r="G7" s="8" t="s">
        <v>152</v>
      </c>
      <c r="H7" s="4" t="str">
        <f>CONCATENATE(Table22[[#This Row],[Standard Attributes List]]," = ",IF(Table22[[#This Row],[Overwrite Value]]="",Table22[[#This Row],[Ref. Value]],Table22[[#This Row],[Overwrite Value]]))</f>
        <v>CONTROL LINE SET = 3/8 HDMC BELOW</v>
      </c>
      <c r="I7" t="str">
        <f>IF(Table22[[#This Row],[Reference]]=Table22[[#This Row],[Output]],"OK","NG")</f>
        <v>OK</v>
      </c>
      <c r="J7" s="9" t="str">
        <f>RIGHT(Table22[[#This Row],[Output]],LEN(Table22[[#This Row],[Output]])-FIND("=",Table22[[#This Row],[Output]])-1)</f>
        <v>3/8 HDMC BELOW</v>
      </c>
      <c r="K7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CONTROL LINE SET CHANGED TO "3/8 HDMC BELOW"</v>
      </c>
      <c r="L7" t="str">
        <f>IF(CLEAN(Table22[[#This Row],[Ref. Value]])=CLEAN(Table22[[#This Row],[Overwrite Value]]),"OK","NG")</f>
        <v>OK</v>
      </c>
    </row>
    <row r="8" spans="1:12" ht="16" thickTop="1" thickBot="1">
      <c r="A8" s="7" t="s">
        <v>36</v>
      </c>
      <c r="B8" s="2" t="str">
        <f>SUBSTITUTE(SUBSTITUTE(SUBSTITUTE(Table22[[#This Row],[Standard Attributes List]]," ",""),".",""),"-","")</f>
        <v>CONVEYANCEMETHOD</v>
      </c>
      <c r="C8" s="3" t="s">
        <v>69</v>
      </c>
      <c r="D8" s="3" t="str">
        <f>SUBSTITUTE(SUBSTITUTE(SUBSTITUTE(LEFT(Table22[[#This Row],[Reference]],FIND("=",Table22[[#This Row],[Reference]])-2)," ",""),".",""),"-","")</f>
        <v>CONVEYANCEMETHOD</v>
      </c>
      <c r="E8" s="3" t="str">
        <f>TRIM(RIGHT(Table22[[#This Row],[Reference]],LEN(Table22[[#This Row],[Reference]])-FIND("=",Table22[[#This Row],[Reference]])-1))</f>
        <v>TUBING</v>
      </c>
      <c r="F8" s="3" t="str">
        <f>VLOOKUP(Table22[[#This Row],[Column1]],D:E,2,FALSE)</f>
        <v>TUBING</v>
      </c>
      <c r="G8" s="8" t="s">
        <v>101</v>
      </c>
      <c r="H8" s="4" t="str">
        <f>CONCATENATE(Table22[[#This Row],[Standard Attributes List]]," = ",IF(Table22[[#This Row],[Overwrite Value]]="",Table22[[#This Row],[Ref. Value]],Table22[[#This Row],[Overwrite Value]]))</f>
        <v>CONVEYANCE METHOD = TUBING</v>
      </c>
      <c r="I8" t="str">
        <f>IF(Table22[[#This Row],[Reference]]=Table22[[#This Row],[Output]],"OK","NG")</f>
        <v>OK</v>
      </c>
      <c r="J8" s="9" t="str">
        <f>RIGHT(Table22[[#This Row],[Output]],LEN(Table22[[#This Row],[Output]])-FIND("=",Table22[[#This Row],[Output]])-1)</f>
        <v>TUBING</v>
      </c>
      <c r="K8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CONVEYANCE METHOD CHANGED TO "TUBING"</v>
      </c>
      <c r="L8" t="str">
        <f>IF(CLEAN(Table22[[#This Row],[Ref. Value]])=CLEAN(Table22[[#This Row],[Overwrite Value]]),"OK","NG")</f>
        <v>OK</v>
      </c>
    </row>
    <row r="9" spans="1:12" ht="16" thickTop="1" thickBot="1">
      <c r="A9" s="12" t="s">
        <v>18</v>
      </c>
      <c r="B9" s="2" t="str">
        <f>SUBSTITUTE(SUBSTITUTE(SUBSTITUTE(Table22[[#This Row],[Standard Attributes List]]," ",""),".",""),"-","")</f>
        <v>DIFFERENTIALPRESSURERATING(PSI)</v>
      </c>
      <c r="C9" s="3" t="s">
        <v>116</v>
      </c>
      <c r="D9" s="3" t="str">
        <f>SUBSTITUTE(SUBSTITUTE(SUBSTITUTE(LEFT(Table22[[#This Row],[Reference]],FIND("=",Table22[[#This Row],[Reference]])-2)," ",""),".",""),"-","")</f>
        <v>DIFFERENTIALPRESSURERATING(PSI)</v>
      </c>
      <c r="E9" s="3" t="str">
        <f>TRIM(RIGHT(Table22[[#This Row],[Reference]],LEN(Table22[[#This Row],[Reference]])-FIND("=",Table22[[#This Row],[Reference]])-1))</f>
        <v>7500</v>
      </c>
      <c r="F9" s="3" t="str">
        <f>VLOOKUP(Table22[[#This Row],[Column1]],D:E,2,FALSE)</f>
        <v>7500</v>
      </c>
      <c r="G9" s="8">
        <v>7500</v>
      </c>
      <c r="H9" s="4" t="str">
        <f>CONCATENATE(Table22[[#This Row],[Standard Attributes List]]," = ",IF(Table22[[#This Row],[Overwrite Value]]="",Table22[[#This Row],[Ref. Value]],Table22[[#This Row],[Overwrite Value]]))</f>
        <v>DIFFERENTIAL PRESSURE RATING (PSI) = 7500</v>
      </c>
      <c r="I9" t="str">
        <f>IF(Table22[[#This Row],[Reference]]=Table22[[#This Row],[Output]],"OK","NG")</f>
        <v>OK</v>
      </c>
      <c r="J9" s="9" t="str">
        <f>RIGHT(Table22[[#This Row],[Output]],LEN(Table22[[#This Row],[Output]])-FIND("=",Table22[[#This Row],[Output]])-1)</f>
        <v>7500</v>
      </c>
      <c r="K9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DIFFERENTIAL PRESSURE RATING (PSI) CHANGED TO "7500"</v>
      </c>
      <c r="L9" t="str">
        <f>IF(CLEAN(Table22[[#This Row],[Ref. Value]])=CLEAN(Table22[[#This Row],[Overwrite Value]]),"OK","NG")</f>
        <v>OK</v>
      </c>
    </row>
    <row r="10" spans="1:12" ht="16" thickTop="1" thickBot="1">
      <c r="A10" s="12" t="s">
        <v>19</v>
      </c>
      <c r="B10" s="2" t="str">
        <f>SUBSTITUTE(SUBSTITUTE(SUBSTITUTE(Table22[[#This Row],[Standard Attributes List]]," ",""),".",""),"-","")</f>
        <v>DIFFERENTIALRATINGISOLATED(PSI)</v>
      </c>
      <c r="C10" s="3" t="s">
        <v>117</v>
      </c>
      <c r="D10" s="3" t="str">
        <f>SUBSTITUTE(SUBSTITUTE(SUBSTITUTE(LEFT(Table22[[#This Row],[Reference]],FIND("=",Table22[[#This Row],[Reference]])-2)," ",""),".",""),"-","")</f>
        <v>DIFFERENTIALRATINGISOLATED(PSI)</v>
      </c>
      <c r="E10" s="3" t="str">
        <f>TRIM(RIGHT(Table22[[#This Row],[Reference]],LEN(Table22[[#This Row],[Reference]])-FIND("=",Table22[[#This Row],[Reference]])-1))</f>
        <v>6000</v>
      </c>
      <c r="F10" s="3" t="str">
        <f>VLOOKUP(Table22[[#This Row],[Column1]],D:E,2,FALSE)</f>
        <v>6000</v>
      </c>
      <c r="G10" s="8">
        <v>6000</v>
      </c>
      <c r="H10" s="4" t="str">
        <f>CONCATENATE(Table22[[#This Row],[Standard Attributes List]]," = ",IF(Table22[[#This Row],[Overwrite Value]]="",Table22[[#This Row],[Ref. Value]],Table22[[#This Row],[Overwrite Value]]))</f>
        <v>DIFFERENTIAL RATING ISOLATED (PSI) = 6000</v>
      </c>
      <c r="I10" t="str">
        <f>IF(Table22[[#This Row],[Reference]]=Table22[[#This Row],[Output]],"OK","NG")</f>
        <v>OK</v>
      </c>
      <c r="J10" s="9" t="str">
        <f>RIGHT(Table22[[#This Row],[Output]],LEN(Table22[[#This Row],[Output]])-FIND("=",Table22[[#This Row],[Output]])-1)</f>
        <v>6000</v>
      </c>
      <c r="K10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DIFFERENTIAL RATING ISOLATED (PSI) CHANGED TO "6000"</v>
      </c>
      <c r="L10" t="str">
        <f>IF(CLEAN(Table22[[#This Row],[Ref. Value]])=CLEAN(Table22[[#This Row],[Overwrite Value]]),"OK","NG")</f>
        <v>OK</v>
      </c>
    </row>
    <row r="11" spans="1:12" ht="16" thickTop="1" thickBot="1">
      <c r="A11" s="12" t="s">
        <v>20</v>
      </c>
      <c r="B11" s="2" t="str">
        <f>SUBSTITUTE(SUBSTITUTE(SUBSTITUTE(Table22[[#This Row],[Standard Attributes List]]," ",""),".",""),"-","")</f>
        <v>DIFFERENTIALRATINGPLUGGED(PSI)</v>
      </c>
      <c r="C11" s="3" t="s">
        <v>118</v>
      </c>
      <c r="D11" s="3" t="str">
        <f>SUBSTITUTE(SUBSTITUTE(SUBSTITUTE(LEFT(Table22[[#This Row],[Reference]],FIND("=",Table22[[#This Row],[Reference]])-2)," ",""),".",""),"-","")</f>
        <v>DIFFERENTIALRATINGPLUGGED(PSI)</v>
      </c>
      <c r="E11" s="3" t="str">
        <f>TRIM(RIGHT(Table22[[#This Row],[Reference]],LEN(Table22[[#This Row],[Reference]])-FIND("=",Table22[[#This Row],[Reference]])-1))</f>
        <v>6000</v>
      </c>
      <c r="F11" s="3" t="str">
        <f>VLOOKUP(Table22[[#This Row],[Column1]],D:E,2,FALSE)</f>
        <v>6000</v>
      </c>
      <c r="G11" s="20">
        <v>6000</v>
      </c>
      <c r="H11" s="4" t="str">
        <f>CONCATENATE(Table22[[#This Row],[Standard Attributes List]]," = ",IF(Table22[[#This Row],[Overwrite Value]]="",Table22[[#This Row],[Ref. Value]],Table22[[#This Row],[Overwrite Value]]))</f>
        <v>DIFFERENTIAL RATING PLUGGED (PSI) = 6000</v>
      </c>
      <c r="I11" t="str">
        <f>IF(Table22[[#This Row],[Reference]]=Table22[[#This Row],[Output]],"OK","NG")</f>
        <v>OK</v>
      </c>
      <c r="J11" s="9" t="str">
        <f>RIGHT(Table22[[#This Row],[Output]],LEN(Table22[[#This Row],[Output]])-FIND("=",Table22[[#This Row],[Output]])-1)</f>
        <v>6000</v>
      </c>
      <c r="K11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DIFFERENTIAL RATING PLUGGED (PSI) CHANGED TO "6000"</v>
      </c>
      <c r="L11" t="str">
        <f>IF(CLEAN(Table22[[#This Row],[Ref. Value]])=CLEAN(Table22[[#This Row],[Overwrite Value]]),"OK","NG")</f>
        <v>OK</v>
      </c>
    </row>
    <row r="12" spans="1:12" ht="16" thickTop="1" thickBot="1">
      <c r="A12" s="12" t="s">
        <v>37</v>
      </c>
      <c r="B12" s="2" t="str">
        <f>SUBSTITUTE(SUBSTITUTE(SUBSTITUTE(Table22[[#This Row],[Standard Attributes List]]," ",""),".",""),"-","")</f>
        <v>DIFFERENTIALRATINGUNPLUGGED(PSI)</v>
      </c>
      <c r="C12" s="3" t="s">
        <v>119</v>
      </c>
      <c r="D12" s="3" t="str">
        <f>SUBSTITUTE(SUBSTITUTE(SUBSTITUTE(LEFT(Table22[[#This Row],[Reference]],FIND("=",Table22[[#This Row],[Reference]])-2)," ",""),".",""),"-","")</f>
        <v>DIFFERENTIALRATINGUNPLUGGED(PSI)</v>
      </c>
      <c r="E12" s="3" t="str">
        <f>TRIM(RIGHT(Table22[[#This Row],[Reference]],LEN(Table22[[#This Row],[Reference]])-FIND("=",Table22[[#This Row],[Reference]])-1))</f>
        <v>7500</v>
      </c>
      <c r="F12" s="3" t="str">
        <f>VLOOKUP(Table22[[#This Row],[Column1]],D:E,2,FALSE)</f>
        <v>7500</v>
      </c>
      <c r="G12" s="8">
        <v>7500</v>
      </c>
      <c r="H12" s="4" t="str">
        <f>CONCATENATE(Table22[[#This Row],[Standard Attributes List]]," = ",IF(Table22[[#This Row],[Overwrite Value]]="",Table22[[#This Row],[Ref. Value]],Table22[[#This Row],[Overwrite Value]]))</f>
        <v>DIFFERENTIAL RATING UNPLUGGED (PSI) = 7500</v>
      </c>
      <c r="I12" t="str">
        <f>IF(Table22[[#This Row],[Reference]]=Table22[[#This Row],[Output]],"OK","NG")</f>
        <v>OK</v>
      </c>
      <c r="J12" s="9" t="str">
        <f>RIGHT(Table22[[#This Row],[Output]],LEN(Table22[[#This Row],[Output]])-FIND("=",Table22[[#This Row],[Output]])-1)</f>
        <v>7500</v>
      </c>
      <c r="K1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DIFFERENTIAL RATING UNPLUGGED (PSI) CHANGED TO "7500"</v>
      </c>
      <c r="L12" t="str">
        <f>IF(CLEAN(Table22[[#This Row],[Ref. Value]])=CLEAN(Table22[[#This Row],[Overwrite Value]]),"OK","NG")</f>
        <v>OK</v>
      </c>
    </row>
    <row r="13" spans="1:12" ht="16" thickTop="1" thickBot="1">
      <c r="A13" s="12" t="s">
        <v>2</v>
      </c>
      <c r="B13" s="2" t="str">
        <f>SUBSTITUTE(SUBSTITUTE(SUBSTITUTE(Table22[[#This Row],[Standard Attributes List]]," ",""),".",""),"-","")</f>
        <v>EXTERNALWORKINGPRESSURE(PSI)EOECATSPECIFIEDTEMP(F)</v>
      </c>
      <c r="C13" s="3" t="s">
        <v>120</v>
      </c>
      <c r="D13" s="3" t="str">
        <f>SUBSTITUTE(SUBSTITUTE(SUBSTITUTE(LEFT(Table22[[#This Row],[Reference]],FIND("=",Table22[[#This Row],[Reference]])-2)," ",""),".",""),"-","")</f>
        <v>EXTERNALWORKINGPRESSURE(PSI)EOECATSPECIFIEDTEMP(F)</v>
      </c>
      <c r="E13" s="3" t="str">
        <f>TRIM(RIGHT(Table22[[#This Row],[Reference]],LEN(Table22[[#This Row],[Reference]])-FIND("=",Table22[[#This Row],[Reference]])-1))</f>
        <v>7500[325]</v>
      </c>
      <c r="F13" s="3" t="str">
        <f>VLOOKUP(Table22[[#This Row],[Column1]],D:E,2,FALSE)</f>
        <v>7500[325]</v>
      </c>
      <c r="G13" s="8" t="s">
        <v>153</v>
      </c>
      <c r="H13" s="4" t="str">
        <f>CONCATENATE(Table22[[#This Row],[Standard Attributes List]]," = ",IF(Table22[[#This Row],[Overwrite Value]]="",Table22[[#This Row],[Ref. Value]],Table22[[#This Row],[Overwrite Value]]))</f>
        <v>EXTERNAL WORKING PRESSURE (PSI) - EOEC AT SPECIFIED TEMP (F) = 7500[325]</v>
      </c>
      <c r="I13" t="str">
        <f>IF(Table22[[#This Row],[Reference]]=Table22[[#This Row],[Output]],"OK","NG")</f>
        <v>OK</v>
      </c>
      <c r="J13" s="9" t="str">
        <f>RIGHT(Table22[[#This Row],[Output]],LEN(Table22[[#This Row],[Output]])-FIND("=",Table22[[#This Row],[Output]])-1)</f>
        <v>7500[325]</v>
      </c>
      <c r="K1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EXTERNAL WORKING PRESSURE (PSI) - EOEC AT SPECIFIED TEMP (F) CHANGED TO "7500[325]"</v>
      </c>
      <c r="L13" t="str">
        <f>IF(CLEAN(Table22[[#This Row],[Ref. Value]])=CLEAN(Table22[[#This Row],[Overwrite Value]]),"OK","NG")</f>
        <v>OK</v>
      </c>
    </row>
    <row r="14" spans="1:12" ht="16" thickTop="1" thickBot="1">
      <c r="A14" s="12" t="s">
        <v>50</v>
      </c>
      <c r="B14" s="2" t="str">
        <f>SUBSTITUTE(SUBSTITUTE(SUBSTITUTE(Table22[[#This Row],[Standard Attributes List]]," ",""),".",""),"-","")</f>
        <v>IDDRIFT(IN)</v>
      </c>
      <c r="C14" s="3" t="s">
        <v>121</v>
      </c>
      <c r="D14" s="3" t="str">
        <f>SUBSTITUTE(SUBSTITUTE(SUBSTITUTE(LEFT(Table22[[#This Row],[Reference]],FIND("=",Table22[[#This Row],[Reference]])-2)," ",""),".",""),"-","")</f>
        <v>IDDRIFT(IN)</v>
      </c>
      <c r="E14" s="3" t="str">
        <f>TRIM(RIGHT(Table22[[#This Row],[Reference]],LEN(Table22[[#This Row],[Reference]])-FIND("=",Table22[[#This Row],[Reference]])-1))</f>
        <v>5.540</v>
      </c>
      <c r="F14" s="3" t="str">
        <f>VLOOKUP(Table22[[#This Row],[Column1]],D:E,2,FALSE)</f>
        <v>5.540</v>
      </c>
      <c r="G14" s="8" t="s">
        <v>154</v>
      </c>
      <c r="H14" s="4" t="str">
        <f>CONCATENATE(Table22[[#This Row],[Standard Attributes List]]," = ",IF(Table22[[#This Row],[Overwrite Value]]="",Table22[[#This Row],[Ref. Value]],Table22[[#This Row],[Overwrite Value]]))</f>
        <v>I.D. - DRIFT (IN) = 5.540</v>
      </c>
      <c r="I14" t="str">
        <f>IF(Table22[[#This Row],[Reference]]=Table22[[#This Row],[Output]],"OK","NG")</f>
        <v>OK</v>
      </c>
      <c r="J14" s="9" t="str">
        <f>RIGHT(Table22[[#This Row],[Output]],LEN(Table22[[#This Row],[Output]])-FIND("=",Table22[[#This Row],[Output]])-1)</f>
        <v>5.540</v>
      </c>
      <c r="K1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I.D. - DRIFT (IN) CHANGED TO "5.540"</v>
      </c>
      <c r="L14" t="str">
        <f>IF(CLEAN(Table22[[#This Row],[Ref. Value]])=CLEAN(Table22[[#This Row],[Overwrite Value]]),"OK","NG")</f>
        <v>OK</v>
      </c>
    </row>
    <row r="15" spans="1:12" ht="16" thickTop="1" thickBot="1">
      <c r="A15" s="12" t="s">
        <v>51</v>
      </c>
      <c r="B15" s="2" t="str">
        <f>SUBSTITUTE(SUBSTITUTE(SUBSTITUTE(Table22[[#This Row],[Standard Attributes List]]," ",""),".",""),"-","")</f>
        <v>IDMIN(IN)</v>
      </c>
      <c r="C15" s="3" t="s">
        <v>122</v>
      </c>
      <c r="D15" s="3" t="str">
        <f>SUBSTITUTE(SUBSTITUTE(SUBSTITUTE(LEFT(Table22[[#This Row],[Reference]],FIND("=",Table22[[#This Row],[Reference]])-2)," ",""),".",""),"-","")</f>
        <v>IDMIN(IN)</v>
      </c>
      <c r="E15" s="3" t="str">
        <f>TRIM(RIGHT(Table22[[#This Row],[Reference]],LEN(Table22[[#This Row],[Reference]])-FIND("=",Table22[[#This Row],[Reference]])-1))</f>
        <v>5.600</v>
      </c>
      <c r="F15" s="3" t="str">
        <f>VLOOKUP(Table22[[#This Row],[Column1]],D:E,2,FALSE)</f>
        <v>5.600</v>
      </c>
      <c r="G15" s="19" t="s">
        <v>168</v>
      </c>
      <c r="H15" s="4" t="str">
        <f>CONCATENATE(Table22[[#This Row],[Standard Attributes List]]," = ",IF(Table22[[#This Row],[Overwrite Value]]="",Table22[[#This Row],[Ref. Value]],Table22[[#This Row],[Overwrite Value]]))</f>
        <v>I.D. - MIN. (IN) = 5.600</v>
      </c>
      <c r="I15" t="str">
        <f>IF(Table22[[#This Row],[Reference]]=Table22[[#This Row],[Output]],"OK","NG")</f>
        <v>OK</v>
      </c>
      <c r="J15" s="9" t="str">
        <f>RIGHT(Table22[[#This Row],[Output]],LEN(Table22[[#This Row],[Output]])-FIND("=",Table22[[#This Row],[Output]])-1)</f>
        <v>5.600</v>
      </c>
      <c r="K15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I.D. - MIN. (IN) CHANGED TO "5.600"</v>
      </c>
      <c r="L15" t="str">
        <f>IF(CLEAN(Table22[[#This Row],[Ref. Value]])=CLEAN(Table22[[#This Row],[Overwrite Value]]),"OK","NG")</f>
        <v>OK</v>
      </c>
    </row>
    <row r="16" spans="1:12" ht="16" thickTop="1" thickBot="1">
      <c r="A16" s="12" t="s">
        <v>52</v>
      </c>
      <c r="B16" s="2" t="str">
        <f>SUBSTITUTE(SUBSTITUTE(SUBSTITUTE(Table22[[#This Row],[Standard Attributes List]]," ",""),".",""),"-","")</f>
        <v>ID(IN)</v>
      </c>
      <c r="C16" s="3" t="s">
        <v>123</v>
      </c>
      <c r="D16" s="3" t="str">
        <f>SUBSTITUTE(SUBSTITUTE(SUBSTITUTE(LEFT(Table22[[#This Row],[Reference]],FIND("=",Table22[[#This Row],[Reference]])-2)," ",""),".",""),"-","")</f>
        <v>ID(IN)</v>
      </c>
      <c r="E16" s="3" t="str">
        <f>TRIM(RIGHT(Table22[[#This Row],[Reference]],LEN(Table22[[#This Row],[Reference]])-FIND("=",Table22[[#This Row],[Reference]])-1))</f>
        <v>5.600</v>
      </c>
      <c r="F16" s="3" t="str">
        <f>VLOOKUP(Table22[[#This Row],[Column1]],D:E,2,FALSE)</f>
        <v>5.600</v>
      </c>
      <c r="G16" s="8" t="s">
        <v>168</v>
      </c>
      <c r="H16" s="4" t="str">
        <f>CONCATENATE(Table22[[#This Row],[Standard Attributes List]]," = ",IF(Table22[[#This Row],[Overwrite Value]]="",Table22[[#This Row],[Ref. Value]],Table22[[#This Row],[Overwrite Value]]))</f>
        <v>I.D. (IN) = 5.600</v>
      </c>
      <c r="I16" t="str">
        <f>IF(Table22[[#This Row],[Reference]]=Table22[[#This Row],[Output]],"OK","NG")</f>
        <v>OK</v>
      </c>
      <c r="J16" s="9" t="str">
        <f>RIGHT(Table22[[#This Row],[Output]],LEN(Table22[[#This Row],[Output]])-FIND("=",Table22[[#This Row],[Output]])-1)</f>
        <v>5.600</v>
      </c>
      <c r="K16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I.D. (IN) CHANGED TO "5.600"</v>
      </c>
      <c r="L16" t="str">
        <f>IF(CLEAN(Table22[[#This Row],[Ref. Value]])=CLEAN(Table22[[#This Row],[Overwrite Value]]),"OK","NG")</f>
        <v>OK</v>
      </c>
    </row>
    <row r="17" spans="1:12" ht="16" thickTop="1" thickBot="1">
      <c r="A17" s="7" t="s">
        <v>3</v>
      </c>
      <c r="B17" s="2" t="str">
        <f>SUBSTITUTE(SUBSTITUTE(SUBSTITUTE(Table22[[#This Row],[Standard Attributes List]]," ",""),".",""),"-","")</f>
        <v>INTERNALWORKINGPRESSURE(PSI)EOECATSPECIFIEDTEMP(F)</v>
      </c>
      <c r="C17" s="3" t="s">
        <v>124</v>
      </c>
      <c r="D17" s="3" t="str">
        <f>SUBSTITUTE(SUBSTITUTE(SUBSTITUTE(LEFT(Table22[[#This Row],[Reference]],FIND("=",Table22[[#This Row],[Reference]])-2)," ",""),".",""),"-","")</f>
        <v>INTERNALWORKINGPRESSURE(PSI)EOECATSPECIFIEDTEMP(F)</v>
      </c>
      <c r="E17" s="3" t="str">
        <f>TRIM(RIGHT(Table22[[#This Row],[Reference]],LEN(Table22[[#This Row],[Reference]])-FIND("=",Table22[[#This Row],[Reference]])-1))</f>
        <v>7500[325]</v>
      </c>
      <c r="F17" s="3" t="str">
        <f>VLOOKUP(Table22[[#This Row],[Column1]],D:E,2,FALSE)</f>
        <v>7500[325]</v>
      </c>
      <c r="G17" s="8" t="s">
        <v>153</v>
      </c>
      <c r="H17" s="4" t="str">
        <f>CONCATENATE(Table22[[#This Row],[Standard Attributes List]]," = ",IF(Table22[[#This Row],[Overwrite Value]]="",Table22[[#This Row],[Ref. Value]],Table22[[#This Row],[Overwrite Value]]))</f>
        <v>INTERNAL WORKING PRESSURE (PSI) - EOEC AT SPECIFIED TEMP (F) = 7500[325]</v>
      </c>
      <c r="I17" t="str">
        <f>IF(Table22[[#This Row],[Reference]]=Table22[[#This Row],[Output]],"OK","NG")</f>
        <v>OK</v>
      </c>
      <c r="J17" s="9" t="str">
        <f>RIGHT(Table22[[#This Row],[Output]],LEN(Table22[[#This Row],[Output]])-FIND("=",Table22[[#This Row],[Output]])-1)</f>
        <v>7500[325]</v>
      </c>
      <c r="K17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INTERNAL WORKING PRESSURE (PSI) - EOEC AT SPECIFIED TEMP (F) CHANGED TO "7500[325]"</v>
      </c>
      <c r="L17" t="str">
        <f>IF(CLEAN(Table22[[#This Row],[Ref. Value]])=CLEAN(Table22[[#This Row],[Overwrite Value]]),"OK","NG")</f>
        <v>OK</v>
      </c>
    </row>
    <row r="18" spans="1:12" ht="16" thickTop="1" thickBot="1">
      <c r="A18" s="12" t="s">
        <v>59</v>
      </c>
      <c r="B18" s="2" t="str">
        <f>SUBSTITUTE(SUBSTITUTE(SUBSTITUTE(Table22[[#This Row],[Standard Attributes List]]," ",""),".",""),"-","")</f>
        <v>ISOQUALIFIEDCASINGID</v>
      </c>
      <c r="C18" s="3" t="s">
        <v>77</v>
      </c>
      <c r="D18" s="3" t="str">
        <f>SUBSTITUTE(SUBSTITUTE(SUBSTITUTE(LEFT(Table22[[#This Row],[Reference]],FIND("=",Table22[[#This Row],[Reference]])-2)," ",""),".",""),"-","")</f>
        <v>ISOQUALIFIEDCASINGID</v>
      </c>
      <c r="E18" s="3" t="str">
        <f>TRIM(RIGHT(Table22[[#This Row],[Reference]],LEN(Table22[[#This Row],[Reference]])-FIND("=",Table22[[#This Row],[Reference]])-1))</f>
        <v>MAX API ID</v>
      </c>
      <c r="F18" s="3" t="str">
        <f>VLOOKUP(Table22[[#This Row],[Column1]],D:E,2,FALSE)</f>
        <v>MAX API ID</v>
      </c>
      <c r="G18" s="8" t="s">
        <v>102</v>
      </c>
      <c r="H18" s="4" t="str">
        <f>CONCATENATE(Table22[[#This Row],[Standard Attributes List]]," = ",IF(Table22[[#This Row],[Overwrite Value]]="",Table22[[#This Row],[Ref. Value]],Table22[[#This Row],[Overwrite Value]]))</f>
        <v>ISO QUALIFIED CASING ID = MAX API ID</v>
      </c>
      <c r="I18" t="str">
        <f>IF(Table22[[#This Row],[Reference]]=Table22[[#This Row],[Output]],"OK","NG")</f>
        <v>OK</v>
      </c>
      <c r="J18" s="9" t="str">
        <f>RIGHT(Table22[[#This Row],[Output]],LEN(Table22[[#This Row],[Output]])-FIND("=",Table22[[#This Row],[Output]])-1)</f>
        <v>MAX API ID</v>
      </c>
      <c r="K18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ISO QUALIFIED CASING ID CHANGED TO "MAX API ID"</v>
      </c>
      <c r="L18" t="str">
        <f>IF(CLEAN(Table22[[#This Row],[Ref. Value]])=CLEAN(Table22[[#This Row],[Overwrite Value]]),"OK","NG")</f>
        <v>OK</v>
      </c>
    </row>
    <row r="19" spans="1:12" ht="16" thickTop="1" thickBot="1">
      <c r="A19" s="12" t="s">
        <v>4</v>
      </c>
      <c r="B19" s="2" t="str">
        <f>SUBSTITUTE(SUBSTITUTE(SUBSTITUTE(Table22[[#This Row],[Standard Attributes List]]," ",""),".",""),"-","")</f>
        <v>LOWERTHREADCONNECTINGSIZE(IN),WT(PPF),TYPE,CONFIG</v>
      </c>
      <c r="C19" s="3" t="s">
        <v>125</v>
      </c>
      <c r="D19" s="3" t="str">
        <f>SUBSTITUTE(SUBSTITUTE(SUBSTITUTE(LEFT(Table22[[#This Row],[Reference]],FIND("=",Table22[[#This Row],[Reference]])-2)," ",""),".",""),"-","")</f>
        <v>LOWERTHREADCONNECTINGSIZE(IN),WT(PPF),TYPE,CONFIG</v>
      </c>
      <c r="E19" s="3" t="str">
        <f>TRIM(RIGHT(Table22[[#This Row],[Reference]],LEN(Table22[[#This Row],[Reference]])-FIND("=",Table22[[#This Row],[Reference]])-1))</f>
        <v>7.000, 29, VAM TOP HC, PIN</v>
      </c>
      <c r="F19" s="3" t="str">
        <f>VLOOKUP(Table22[[#This Row],[Column1]],D:E,2,FALSE)</f>
        <v>7.000, 29, VAM TOP HC, PIN</v>
      </c>
      <c r="G19" s="20" t="s">
        <v>155</v>
      </c>
      <c r="H19" s="4" t="str">
        <f>CONCATENATE(Table22[[#This Row],[Standard Attributes List]]," = ",IF(Table22[[#This Row],[Overwrite Value]]="",Table22[[#This Row],[Ref. Value]],Table22[[#This Row],[Overwrite Value]]))</f>
        <v>LOWER THREAD CONNECTING - SIZE (IN), WT (PPF), TYPE, CONFIG = 7.000, 29, VAM TOP HC, PIN</v>
      </c>
      <c r="I19" t="str">
        <f>IF(Table22[[#This Row],[Reference]]=Table22[[#This Row],[Output]],"OK","NG")</f>
        <v>OK</v>
      </c>
      <c r="J19" s="9" t="str">
        <f>RIGHT(Table22[[#This Row],[Output]],LEN(Table22[[#This Row],[Output]])-FIND("=",Table22[[#This Row],[Output]])-1)</f>
        <v>7.000, 29, VAM TOP HC, PIN</v>
      </c>
      <c r="K19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LOWER THREAD CONNECTING - SIZE (IN), WT (PPF), TYPE, CONFIG CHANGED TO "7.000, 29, VAM TOP HC, PIN"</v>
      </c>
      <c r="L19" t="str">
        <f>IF(CLEAN(Table22[[#This Row],[Ref. Value]])=CLEAN(Table22[[#This Row],[Overwrite Value]]),"OK","NG")</f>
        <v>OK</v>
      </c>
    </row>
    <row r="20" spans="1:12" ht="16" thickTop="1" thickBot="1">
      <c r="A20" s="12" t="s">
        <v>53</v>
      </c>
      <c r="B20" s="2" t="str">
        <f>SUBSTITUTE(SUBSTITUTE(SUBSTITUTE(Table22[[#This Row],[Standard Attributes List]]," ",""),".",""),"-","")</f>
        <v>MAKEUPLENGTH(IN)</v>
      </c>
      <c r="C20" s="3" t="s">
        <v>126</v>
      </c>
      <c r="D20" s="3" t="str">
        <f>SUBSTITUTE(SUBSTITUTE(SUBSTITUTE(LEFT(Table22[[#This Row],[Reference]],FIND("=",Table22[[#This Row],[Reference]])-2)," ",""),".",""),"-","")</f>
        <v>MAKEUPLENGTH(IN)</v>
      </c>
      <c r="E20" s="3" t="str">
        <f>TRIM(RIGHT(Table22[[#This Row],[Reference]],LEN(Table22[[#This Row],[Reference]])-FIND("=",Table22[[#This Row],[Reference]])-1))</f>
        <v>97</v>
      </c>
      <c r="F20" s="3" t="str">
        <f>VLOOKUP(Table22[[#This Row],[Column1]],D:E,2,FALSE)</f>
        <v>97</v>
      </c>
      <c r="G20" s="8">
        <v>97</v>
      </c>
      <c r="H20" s="4" t="str">
        <f>CONCATENATE(Table22[[#This Row],[Standard Attributes List]]," = ",IF(Table22[[#This Row],[Overwrite Value]]="",Table22[[#This Row],[Ref. Value]],Table22[[#This Row],[Overwrite Value]]))</f>
        <v>MAKE-UP LENGTH (IN) = 97</v>
      </c>
      <c r="I20" t="str">
        <f>IF(Table22[[#This Row],[Reference]]=Table22[[#This Row],[Output]],"OK","NG")</f>
        <v>OK</v>
      </c>
      <c r="J20" s="9" t="str">
        <f>RIGHT(Table22[[#This Row],[Output]],LEN(Table22[[#This Row],[Output]])-FIND("=",Table22[[#This Row],[Output]])-1)</f>
        <v>97</v>
      </c>
      <c r="K20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MAKE-UP LENGTH (IN) CHANGED TO "97"</v>
      </c>
      <c r="L20" t="str">
        <f>IF(CLEAN(Table22[[#This Row],[Ref. Value]])=CLEAN(Table22[[#This Row],[Overwrite Value]]),"OK","NG")</f>
        <v>OK</v>
      </c>
    </row>
    <row r="21" spans="1:12" ht="16" thickTop="1" thickBot="1">
      <c r="A21" s="12" t="s">
        <v>5</v>
      </c>
      <c r="B21" s="2" t="str">
        <f>SUBSTITUTE(SUBSTITUTE(SUBSTITUTE(Table22[[#This Row],[Standard Attributes List]]," ",""),".",""),"-","")</f>
        <v>MATERIAL/ELASTOMERS</v>
      </c>
      <c r="C21" s="3" t="s">
        <v>79</v>
      </c>
      <c r="D21" s="3" t="str">
        <f>SUBSTITUTE(SUBSTITUTE(SUBSTITUTE(LEFT(Table22[[#This Row],[Reference]],FIND("=",Table22[[#This Row],[Reference]])-2)," ",""),".",""),"-","")</f>
        <v>MATERIAL/ELASTOMERS</v>
      </c>
      <c r="E21" s="3" t="str">
        <f>TRIM(RIGHT(Table22[[#This Row],[Reference]],LEN(Table22[[#This Row],[Reference]])-FIND("=",Table22[[#This Row],[Reference]])-1))</f>
        <v>HNBR</v>
      </c>
      <c r="F21" s="3" t="str">
        <f>VLOOKUP(Table22[[#This Row],[Column1]],D:E,2,FALSE)</f>
        <v>HNBR</v>
      </c>
      <c r="G21" s="8" t="s">
        <v>103</v>
      </c>
      <c r="H21" s="4" t="str">
        <f>CONCATENATE(Table22[[#This Row],[Standard Attributes List]]," = ",IF(Table22[[#This Row],[Overwrite Value]]="",Table22[[#This Row],[Ref. Value]],Table22[[#This Row],[Overwrite Value]]))</f>
        <v>MATERIAL/ELASTOMERS = HNBR</v>
      </c>
      <c r="I21" t="str">
        <f>IF(Table22[[#This Row],[Reference]]=Table22[[#This Row],[Output]],"OK","NG")</f>
        <v>OK</v>
      </c>
      <c r="J21" s="9" t="str">
        <f>RIGHT(Table22[[#This Row],[Output]],LEN(Table22[[#This Row],[Output]])-FIND("=",Table22[[#This Row],[Output]])-1)</f>
        <v>HNBR</v>
      </c>
      <c r="K21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MATERIAL/ELASTOMERS CHANGED TO "HNBR"</v>
      </c>
      <c r="L21" t="str">
        <f>IF(CLEAN(Table22[[#This Row],[Ref. Value]])=CLEAN(Table22[[#This Row],[Overwrite Value]]),"OK","NG")</f>
        <v>OK</v>
      </c>
    </row>
    <row r="22" spans="1:12" ht="16" thickTop="1" thickBot="1">
      <c r="A22" s="12" t="s">
        <v>21</v>
      </c>
      <c r="B22" s="2" t="str">
        <f>SUBSTITUTE(SUBSTITUTE(SUBSTITUTE(Table22[[#This Row],[Standard Attributes List]]," ",""),".",""),"-","")</f>
        <v>MATERIAL/ELEMENTS</v>
      </c>
      <c r="C22" s="3" t="s">
        <v>62</v>
      </c>
      <c r="D22" s="3" t="str">
        <f>SUBSTITUTE(SUBSTITUTE(SUBSTITUTE(LEFT(Table22[[#This Row],[Reference]],FIND("=",Table22[[#This Row],[Reference]])-2)," ",""),".",""),"-","")</f>
        <v>MATERIAL/ELEMENTS</v>
      </c>
      <c r="E22" s="3" t="str">
        <f>TRIM(RIGHT(Table22[[#This Row],[Reference]],LEN(Table22[[#This Row],[Reference]])-FIND("=",Table22[[#This Row],[Reference]])-1))</f>
        <v>HNBR</v>
      </c>
      <c r="F22" s="3" t="str">
        <f>VLOOKUP(Table22[[#This Row],[Column1]],D:E,2,FALSE)</f>
        <v>HNBR</v>
      </c>
      <c r="G22" s="8" t="s">
        <v>103</v>
      </c>
      <c r="H22" s="4" t="str">
        <f>CONCATENATE(Table22[[#This Row],[Standard Attributes List]]," = ",IF(Table22[[#This Row],[Overwrite Value]]="",Table22[[#This Row],[Ref. Value]],Table22[[#This Row],[Overwrite Value]]))</f>
        <v>MATERIAL/ELEMENTS = HNBR</v>
      </c>
      <c r="I22" t="str">
        <f>IF(Table22[[#This Row],[Reference]]=Table22[[#This Row],[Output]],"OK","NG")</f>
        <v>OK</v>
      </c>
      <c r="J22" s="9" t="str">
        <f>RIGHT(Table22[[#This Row],[Output]],LEN(Table22[[#This Row],[Output]])-FIND("=",Table22[[#This Row],[Output]])-1)</f>
        <v>HNBR</v>
      </c>
      <c r="K2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MATERIAL/ELEMENTS CHANGED TO "HNBR"</v>
      </c>
      <c r="L22" t="str">
        <f>IF(CLEAN(Table22[[#This Row],[Ref. Value]])=CLEAN(Table22[[#This Row],[Overwrite Value]]),"OK","NG")</f>
        <v>OK</v>
      </c>
    </row>
    <row r="23" spans="1:12" ht="16" thickTop="1" thickBot="1">
      <c r="A23" s="12" t="s">
        <v>22</v>
      </c>
      <c r="B23" s="2" t="str">
        <f>SUBSTITUTE(SUBSTITUTE(SUBSTITUTE(Table22[[#This Row],[Standard Attributes List]]," ",""),".",""),"-","")</f>
        <v>MATERIAL/NONFLOWWETTED</v>
      </c>
      <c r="C23" s="3" t="s">
        <v>80</v>
      </c>
      <c r="D23" s="3" t="str">
        <f>SUBSTITUTE(SUBSTITUTE(SUBSTITUTE(LEFT(Table22[[#This Row],[Reference]],FIND("=",Table22[[#This Row],[Reference]])-2)," ",""),".",""),"-","")</f>
        <v>MATERIAL/NONFLOWWETTED</v>
      </c>
      <c r="E23" s="3" t="str">
        <f>TRIM(RIGHT(Table22[[#This Row],[Reference]],LEN(Table22[[#This Row],[Reference]])-FIND("=",Table22[[#This Row],[Reference]])-1))</f>
        <v>4130/4140, 4340</v>
      </c>
      <c r="F23" s="3" t="str">
        <f>VLOOKUP(Table22[[#This Row],[Column1]],D:E,2,FALSE)</f>
        <v>4130/4140, 4340</v>
      </c>
      <c r="G23" s="8" t="s">
        <v>104</v>
      </c>
      <c r="H23" s="4" t="str">
        <f>CONCATENATE(Table22[[#This Row],[Standard Attributes List]]," = ",IF(Table22[[#This Row],[Overwrite Value]]="",Table22[[#This Row],[Ref. Value]],Table22[[#This Row],[Overwrite Value]]))</f>
        <v>MATERIAL/NON FLOW WETTED = 4130/4140, 4340</v>
      </c>
      <c r="I23" t="str">
        <f>IF(Table22[[#This Row],[Reference]]=Table22[[#This Row],[Output]],"OK","NG")</f>
        <v>OK</v>
      </c>
      <c r="J23" s="9" t="str">
        <f>RIGHT(Table22[[#This Row],[Output]],LEN(Table22[[#This Row],[Output]])-FIND("=",Table22[[#This Row],[Output]])-1)</f>
        <v>4130/4140, 4340</v>
      </c>
      <c r="K2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MATERIAL/NON FLOW WETTED CHANGED TO "4130/4140, 4340"</v>
      </c>
      <c r="L23" t="str">
        <f>IF(CLEAN(Table22[[#This Row],[Ref. Value]])=CLEAN(Table22[[#This Row],[Overwrite Value]]),"OK","NG")</f>
        <v>OK</v>
      </c>
    </row>
    <row r="24" spans="1:12" ht="16" thickTop="1" thickBot="1">
      <c r="A24" s="12" t="s">
        <v>23</v>
      </c>
      <c r="B24" s="2" t="str">
        <f>SUBSTITUTE(SUBSTITUTE(SUBSTITUTE(Table22[[#This Row],[Standard Attributes List]]," ",""),".",""),"-","")</f>
        <v>MATERIAL/ORING(S)</v>
      </c>
      <c r="C24" s="3" t="s">
        <v>81</v>
      </c>
      <c r="D24" s="3" t="str">
        <f>SUBSTITUTE(SUBSTITUTE(SUBSTITUTE(LEFT(Table22[[#This Row],[Reference]],FIND("=",Table22[[#This Row],[Reference]])-2)," ",""),".",""),"-","")</f>
        <v>MATERIAL/ORING(S)</v>
      </c>
      <c r="E24" s="3" t="str">
        <f>TRIM(RIGHT(Table22[[#This Row],[Reference]],LEN(Table22[[#This Row],[Reference]])-FIND("=",Table22[[#This Row],[Reference]])-1))</f>
        <v>HNBR</v>
      </c>
      <c r="F24" s="3" t="str">
        <f>VLOOKUP(Table22[[#This Row],[Column1]],D:E,2,FALSE)</f>
        <v>HNBR</v>
      </c>
      <c r="G24" s="8" t="s">
        <v>103</v>
      </c>
      <c r="H24" s="4" t="str">
        <f>CONCATENATE(Table22[[#This Row],[Standard Attributes List]]," = ",IF(Table22[[#This Row],[Overwrite Value]]="",Table22[[#This Row],[Ref. Value]],Table22[[#This Row],[Overwrite Value]]))</f>
        <v>MATERIAL/O-RING(S) = HNBR</v>
      </c>
      <c r="I24" t="str">
        <f>IF(Table22[[#This Row],[Reference]]=Table22[[#This Row],[Output]],"OK","NG")</f>
        <v>OK</v>
      </c>
      <c r="J24" s="9" t="str">
        <f>RIGHT(Table22[[#This Row],[Output]],LEN(Table22[[#This Row],[Output]])-FIND("=",Table22[[#This Row],[Output]])-1)</f>
        <v>HNBR</v>
      </c>
      <c r="K2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MATERIAL/O-RING(S) CHANGED TO "HNBR"</v>
      </c>
      <c r="L24" t="str">
        <f>IF(CLEAN(Table22[[#This Row],[Ref. Value]])=CLEAN(Table22[[#This Row],[Overwrite Value]]),"OK","NG")</f>
        <v>OK</v>
      </c>
    </row>
    <row r="25" spans="1:12" ht="16" thickTop="1" thickBot="1">
      <c r="A25" s="12" t="s">
        <v>38</v>
      </c>
      <c r="B25" s="2" t="str">
        <f>SUBSTITUTE(SUBSTITUTE(SUBSTITUTE(Table22[[#This Row],[Standard Attributes List]]," ",""),".",""),"-","")</f>
        <v>MAXCIRCULATIONRATEPASTPACKER(BPM)</v>
      </c>
      <c r="C25" s="3" t="s">
        <v>127</v>
      </c>
      <c r="D25" s="3" t="str">
        <f>SUBSTITUTE(SUBSTITUTE(SUBSTITUTE(LEFT(Table22[[#This Row],[Reference]],FIND("=",Table22[[#This Row],[Reference]])-2)," ",""),".",""),"-","")</f>
        <v>MAXCIRCULATIONRATEPASTPACKER(BPM)</v>
      </c>
      <c r="E25" s="3" t="str">
        <f>TRIM(RIGHT(Table22[[#This Row],[Reference]],LEN(Table22[[#This Row],[Reference]])-FIND("=",Table22[[#This Row],[Reference]])-1))</f>
        <v>6.7</v>
      </c>
      <c r="F25" s="3" t="str">
        <f>VLOOKUP(Table22[[#This Row],[Column1]],D:E,2,FALSE)</f>
        <v>6.7</v>
      </c>
      <c r="G25" s="8">
        <v>6.7</v>
      </c>
      <c r="H25" s="4" t="str">
        <f>CONCATENATE(Table22[[#This Row],[Standard Attributes List]]," = ",IF(Table22[[#This Row],[Overwrite Value]]="",Table22[[#This Row],[Ref. Value]],Table22[[#This Row],[Overwrite Value]]))</f>
        <v>MAX. CIRCULATION RATE PAST PACKER (BPM) = 6.7</v>
      </c>
      <c r="I25" t="str">
        <f>IF(Table22[[#This Row],[Reference]]=Table22[[#This Row],[Output]],"OK","NG")</f>
        <v>OK</v>
      </c>
      <c r="J25" s="9" t="str">
        <f>RIGHT(Table22[[#This Row],[Output]],LEN(Table22[[#This Row],[Output]])-FIND("=",Table22[[#This Row],[Output]])-1)</f>
        <v>6.7</v>
      </c>
      <c r="K25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MAX. CIRCULATION RATE PAST PACKER (BPM) CHANGED TO "6.7"</v>
      </c>
      <c r="L25" t="str">
        <f>IF(CLEAN(Table22[[#This Row],[Ref. Value]])=CLEAN(Table22[[#This Row],[Overwrite Value]]),"OK","NG")</f>
        <v>OK</v>
      </c>
    </row>
    <row r="26" spans="1:12" ht="16" thickTop="1" thickBot="1">
      <c r="A26" s="12" t="s">
        <v>24</v>
      </c>
      <c r="B26" s="2" t="str">
        <f>SUBSTITUTE(SUBSTITUTE(SUBSTITUTE(Table22[[#This Row],[Standard Attributes List]]," ",""),".",""),"-","")</f>
        <v>MAXDELTAT(F)</v>
      </c>
      <c r="C26" s="3" t="s">
        <v>128</v>
      </c>
      <c r="D26" s="3" t="str">
        <f>SUBSTITUTE(SUBSTITUTE(SUBSTITUTE(LEFT(Table22[[#This Row],[Reference]],FIND("=",Table22[[#This Row],[Reference]])-2)," ",""),".",""),"-","")</f>
        <v>MAXDELTAT(F)</v>
      </c>
      <c r="E26" s="3" t="str">
        <f>TRIM(RIGHT(Table22[[#This Row],[Reference]],LEN(Table22[[#This Row],[Reference]])-FIND("=",Table22[[#This Row],[Reference]])-1))</f>
        <v>120</v>
      </c>
      <c r="F26" s="3" t="str">
        <f>VLOOKUP(Table22[[#This Row],[Column1]],D:E,2,FALSE)</f>
        <v>120</v>
      </c>
      <c r="G26" s="8">
        <v>120</v>
      </c>
      <c r="H26" s="4" t="str">
        <f>CONCATENATE(Table22[[#This Row],[Standard Attributes List]]," = ",IF(Table22[[#This Row],[Overwrite Value]]="",Table22[[#This Row],[Ref. Value]],Table22[[#This Row],[Overwrite Value]]))</f>
        <v>MAX. DELTA T (F) = 120</v>
      </c>
      <c r="I26" t="str">
        <f>IF(Table22[[#This Row],[Reference]]=Table22[[#This Row],[Output]],"OK","NG")</f>
        <v>OK</v>
      </c>
      <c r="J26" s="9" t="str">
        <f>RIGHT(Table22[[#This Row],[Output]],LEN(Table22[[#This Row],[Output]])-FIND("=",Table22[[#This Row],[Output]])-1)</f>
        <v>120</v>
      </c>
      <c r="K26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MAX. DELTA T (F) CHANGED TO "120"</v>
      </c>
      <c r="L26" t="str">
        <f>IF(CLEAN(Table22[[#This Row],[Ref. Value]])=CLEAN(Table22[[#This Row],[Overwrite Value]]),"OK","NG")</f>
        <v>OK</v>
      </c>
    </row>
    <row r="27" spans="1:12" ht="16" thickTop="1" thickBot="1">
      <c r="A27" s="12" t="s">
        <v>149</v>
      </c>
      <c r="B27" s="2" t="str">
        <f>SUBSTITUTE(SUBSTITUTE(SUBSTITUTE(Table22[[#This Row],[Standard Attributes List]]," ",""),".",""),"-","")</f>
        <v>MAXHYDROSTATICPRESSURE(PSI)ATSPECIFIEDTEMP(F)</v>
      </c>
      <c r="C27" s="3" t="s">
        <v>129</v>
      </c>
      <c r="D27" s="3" t="str">
        <f>SUBSTITUTE(SUBSTITUTE(SUBSTITUTE(LEFT(Table22[[#This Row],[Reference]],FIND("=",Table22[[#This Row],[Reference]])-2)," ",""),".",""),"-","")</f>
        <v>MAXHYDROSTATICPRESSURE(PSI)ATSPECIFIEDTEMP(F)</v>
      </c>
      <c r="E27" s="3" t="str">
        <f>TRIM(RIGHT(Table22[[#This Row],[Reference]],LEN(Table22[[#This Row],[Reference]])-FIND("=",Table22[[#This Row],[Reference]])-1))</f>
        <v>8000[350]</v>
      </c>
      <c r="F27" s="3" t="str">
        <f>VLOOKUP(Table22[[#This Row],[Column1]],D:E,2,FALSE)</f>
        <v>8000[350]</v>
      </c>
      <c r="G27" s="8" t="s">
        <v>156</v>
      </c>
      <c r="H27" s="4" t="str">
        <f>CONCATENATE(Table22[[#This Row],[Standard Attributes List]]," = ",IF(Table22[[#This Row],[Overwrite Value]]="",Table22[[#This Row],[Ref. Value]],Table22[[#This Row],[Overwrite Value]]))</f>
        <v>MAX. HYDROSTATIC PRESSURE (PSI) - AT SPECIFIED TEMP (F) = 8000[350]</v>
      </c>
      <c r="I27" t="str">
        <f>IF(Table22[[#This Row],[Reference]]=Table22[[#This Row],[Output]],"OK","NG")</f>
        <v>OK</v>
      </c>
      <c r="J27" s="9" t="str">
        <f>RIGHT(Table22[[#This Row],[Output]],LEN(Table22[[#This Row],[Output]])-FIND("=",Table22[[#This Row],[Output]])-1)</f>
        <v>8000[350]</v>
      </c>
      <c r="K27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MAX. HYDROSTATIC PRESSURE (PSI) - AT SPECIFIED TEMP (F) CHANGED TO "8000[350]"</v>
      </c>
      <c r="L27" t="str">
        <f>IF(CLEAN(Table22[[#This Row],[Ref. Value]])=CLEAN(Table22[[#This Row],[Overwrite Value]]),"OK","NG")</f>
        <v>OK</v>
      </c>
    </row>
    <row r="28" spans="1:12" ht="16" thickTop="1" thickBot="1">
      <c r="A28" s="12" t="s">
        <v>39</v>
      </c>
      <c r="B28" s="2" t="str">
        <f>SUBSTITUTE(SUBSTITUTE(SUBSTITUTE(Table22[[#This Row],[Standard Attributes List]]," ",""),".",""),"-","")</f>
        <v>MAXRIHRATE(FPM)</v>
      </c>
      <c r="C28" s="3" t="s">
        <v>130</v>
      </c>
      <c r="D28" s="3" t="str">
        <f>SUBSTITUTE(SUBSTITUTE(SUBSTITUTE(LEFT(Table22[[#This Row],[Reference]],FIND("=",Table22[[#This Row],[Reference]])-2)," ",""),".",""),"-","")</f>
        <v>MAXRIHRATE(FPM)</v>
      </c>
      <c r="E28" s="3" t="str">
        <f>TRIM(RIGHT(Table22[[#This Row],[Reference]],LEN(Table22[[#This Row],[Reference]])-FIND("=",Table22[[#This Row],[Reference]])-1))</f>
        <v>91</v>
      </c>
      <c r="F28" s="3" t="str">
        <f>VLOOKUP(Table22[[#This Row],[Column1]],D:E,2,FALSE)</f>
        <v>91</v>
      </c>
      <c r="G28" s="8">
        <v>91</v>
      </c>
      <c r="H28" s="4" t="str">
        <f>CONCATENATE(Table22[[#This Row],[Standard Attributes List]]," = ",IF(Table22[[#This Row],[Overwrite Value]]="",Table22[[#This Row],[Ref. Value]],Table22[[#This Row],[Overwrite Value]]))</f>
        <v>MAX. RIH RATE (FPM) = 91</v>
      </c>
      <c r="I28" t="str">
        <f>IF(Table22[[#This Row],[Reference]]=Table22[[#This Row],[Output]],"OK","NG")</f>
        <v>OK</v>
      </c>
      <c r="J28" s="9" t="str">
        <f>RIGHT(Table22[[#This Row],[Output]],LEN(Table22[[#This Row],[Output]])-FIND("=",Table22[[#This Row],[Output]])-1)</f>
        <v>91</v>
      </c>
      <c r="K28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MAX. RIH RATE (FPM) CHANGED TO "91"</v>
      </c>
      <c r="L28" t="str">
        <f>IF(CLEAN(Table22[[#This Row],[Ref. Value]])=CLEAN(Table22[[#This Row],[Overwrite Value]]),"OK","NG")</f>
        <v>OK</v>
      </c>
    </row>
    <row r="29" spans="1:12" ht="16" thickTop="1" thickBot="1">
      <c r="A29" s="12" t="s">
        <v>6</v>
      </c>
      <c r="B29" s="2" t="str">
        <f>SUBSTITUTE(SUBSTITUTE(SUBSTITUTE(Table22[[#This Row],[Standard Attributes List]]," ",""),".",""),"-","")</f>
        <v>MAXWORKINGTEMPERATURE(DEGF)</v>
      </c>
      <c r="C29" s="3" t="s">
        <v>131</v>
      </c>
      <c r="D29" s="3" t="str">
        <f>SUBSTITUTE(SUBSTITUTE(SUBSTITUTE(LEFT(Table22[[#This Row],[Reference]],FIND("=",Table22[[#This Row],[Reference]])-2)," ",""),".",""),"-","")</f>
        <v>MAXWORKINGTEMPERATURE(DEGF)</v>
      </c>
      <c r="E29" s="3" t="str">
        <f>TRIM(RIGHT(Table22[[#This Row],[Reference]],LEN(Table22[[#This Row],[Reference]])-FIND("=",Table22[[#This Row],[Reference]])-1))</f>
        <v>160</v>
      </c>
      <c r="F29" s="3" t="str">
        <f>VLOOKUP(Table22[[#This Row],[Column1]],D:E,2,FALSE)</f>
        <v>160</v>
      </c>
      <c r="G29" s="8">
        <v>160</v>
      </c>
      <c r="H29" s="4" t="str">
        <f>CONCATENATE(Table22[[#This Row],[Standard Attributes List]]," = ",IF(Table22[[#This Row],[Overwrite Value]]="",Table22[[#This Row],[Ref. Value]],Table22[[#This Row],[Overwrite Value]]))</f>
        <v>MAX. WORKING TEMPERATURE (DEG.F) = 160</v>
      </c>
      <c r="I29" t="str">
        <f>IF(Table22[[#This Row],[Reference]]=Table22[[#This Row],[Output]],"OK","NG")</f>
        <v>OK</v>
      </c>
      <c r="J29" s="9" t="str">
        <f>RIGHT(Table22[[#This Row],[Output]],LEN(Table22[[#This Row],[Output]])-FIND("=",Table22[[#This Row],[Output]])-1)</f>
        <v>160</v>
      </c>
      <c r="K29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MAX. WORKING TEMPERATURE (DEG.F) CHANGED TO "160"</v>
      </c>
      <c r="L29" t="str">
        <f>IF(CLEAN(Table22[[#This Row],[Ref. Value]])=CLEAN(Table22[[#This Row],[Overwrite Value]]),"OK","NG")</f>
        <v>OK</v>
      </c>
    </row>
    <row r="30" spans="1:12" ht="16" thickTop="1" thickBot="1">
      <c r="A30" s="12" t="s">
        <v>7</v>
      </c>
      <c r="B30" s="2" t="str">
        <f>SUBSTITUTE(SUBSTITUTE(SUBSTITUTE(Table22[[#This Row],[Standard Attributes List]]," ",""),".",""),"-","")</f>
        <v>MINWORKINGTEMPERATURE(DEGF)</v>
      </c>
      <c r="C30" s="3" t="s">
        <v>132</v>
      </c>
      <c r="D30" s="3" t="str">
        <f>SUBSTITUTE(SUBSTITUTE(SUBSTITUTE(LEFT(Table22[[#This Row],[Reference]],FIND("=",Table22[[#This Row],[Reference]])-2)," ",""),".",""),"-","")</f>
        <v>MINWORKINGTEMPERATURE(DEGF)</v>
      </c>
      <c r="E30" s="3" t="str">
        <f>TRIM(RIGHT(Table22[[#This Row],[Reference]],LEN(Table22[[#This Row],[Reference]])-FIND("=",Table22[[#This Row],[Reference]])-1))</f>
        <v>40</v>
      </c>
      <c r="F30" s="3" t="str">
        <f>VLOOKUP(Table22[[#This Row],[Column1]],D:E,2,FALSE)</f>
        <v>40</v>
      </c>
      <c r="G30" s="8">
        <v>40</v>
      </c>
      <c r="H30" s="4" t="str">
        <f>CONCATENATE(Table22[[#This Row],[Standard Attributes List]]," = ",IF(Table22[[#This Row],[Overwrite Value]]="",Table22[[#This Row],[Ref. Value]],Table22[[#This Row],[Overwrite Value]]))</f>
        <v>MIN. WORKING TEMPERATURE (DEG.F) = 40</v>
      </c>
      <c r="I30" t="str">
        <f>IF(Table22[[#This Row],[Reference]]=Table22[[#This Row],[Output]],"OK","NG")</f>
        <v>OK</v>
      </c>
      <c r="J30" s="9" t="str">
        <f>RIGHT(Table22[[#This Row],[Output]],LEN(Table22[[#This Row],[Output]])-FIND("=",Table22[[#This Row],[Output]])-1)</f>
        <v>40</v>
      </c>
      <c r="K30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MIN. WORKING TEMPERATURE (DEG.F) CHANGED TO "40"</v>
      </c>
      <c r="L30" t="str">
        <f>IF(CLEAN(Table22[[#This Row],[Ref. Value]])=CLEAN(Table22[[#This Row],[Overwrite Value]]),"OK","NG")</f>
        <v>OK</v>
      </c>
    </row>
    <row r="31" spans="1:12" ht="16" thickTop="1" thickBot="1">
      <c r="A31" s="12" t="s">
        <v>8</v>
      </c>
      <c r="B31" s="2" t="str">
        <f>SUBSTITUTE(SUBSTITUTE(SUBSTITUTE(Table22[[#This Row],[Standard Attributes List]]," ",""),".",""),"-","")</f>
        <v>ODMAX(IN)</v>
      </c>
      <c r="C31" s="3" t="s">
        <v>133</v>
      </c>
      <c r="D31" s="3" t="str">
        <f>SUBSTITUTE(SUBSTITUTE(SUBSTITUTE(LEFT(Table22[[#This Row],[Reference]],FIND("=",Table22[[#This Row],[Reference]])-2)," ",""),".",""),"-","")</f>
        <v>ODMAX(IN)</v>
      </c>
      <c r="E31" s="3" t="str">
        <f>TRIM(RIGHT(Table22[[#This Row],[Reference]],LEN(Table22[[#This Row],[Reference]])-FIND("=",Table22[[#This Row],[Reference]])-1))</f>
        <v>9.384</v>
      </c>
      <c r="F31" s="3" t="str">
        <f>VLOOKUP(Table22[[#This Row],[Column1]],D:E,2,FALSE)</f>
        <v>9.384</v>
      </c>
      <c r="G31" s="8">
        <v>9.3840000000000003</v>
      </c>
      <c r="H31" s="4" t="str">
        <f>CONCATENATE(Table22[[#This Row],[Standard Attributes List]]," = ",IF(Table22[[#This Row],[Overwrite Value]]="",Table22[[#This Row],[Ref. Value]],Table22[[#This Row],[Overwrite Value]]))</f>
        <v>O.D. - MAX. (IN) = 9.384</v>
      </c>
      <c r="I31" t="str">
        <f>IF(Table22[[#This Row],[Reference]]=Table22[[#This Row],[Output]],"OK","NG")</f>
        <v>OK</v>
      </c>
      <c r="J31" s="9" t="str">
        <f>RIGHT(Table22[[#This Row],[Output]],LEN(Table22[[#This Row],[Output]])-FIND("=",Table22[[#This Row],[Output]])-1)</f>
        <v>9.384</v>
      </c>
      <c r="K31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O.D. - MAX. (IN) CHANGED TO "9.384"</v>
      </c>
      <c r="L31" t="str">
        <f>IF(CLEAN(Table22[[#This Row],[Ref. Value]])=CLEAN(Table22[[#This Row],[Overwrite Value]]),"OK","NG")</f>
        <v>OK</v>
      </c>
    </row>
    <row r="32" spans="1:12" ht="16" thickTop="1" thickBot="1">
      <c r="A32" s="12" t="s">
        <v>9</v>
      </c>
      <c r="B32" s="2" t="str">
        <f>SUBSTITUTE(SUBSTITUTE(SUBSTITUTE(Table22[[#This Row],[Standard Attributes List]]," ",""),".",""),"-","")</f>
        <v>OD(IN)</v>
      </c>
      <c r="C32" s="3" t="s">
        <v>134</v>
      </c>
      <c r="D32" s="3" t="str">
        <f>SUBSTITUTE(SUBSTITUTE(SUBSTITUTE(LEFT(Table22[[#This Row],[Reference]],FIND("=",Table22[[#This Row],[Reference]])-2)," ",""),".",""),"-","")</f>
        <v>OD(IN)</v>
      </c>
      <c r="E32" s="3" t="str">
        <f>TRIM(RIGHT(Table22[[#This Row],[Reference]],LEN(Table22[[#This Row],[Reference]])-FIND("=",Table22[[#This Row],[Reference]])-1))</f>
        <v>9.384</v>
      </c>
      <c r="F32" s="3" t="str">
        <f>VLOOKUP(Table22[[#This Row],[Column1]],D:E,2,FALSE)</f>
        <v>9.384</v>
      </c>
      <c r="G32" s="8">
        <v>9.3840000000000003</v>
      </c>
      <c r="H32" s="4" t="str">
        <f>CONCATENATE(Table22[[#This Row],[Standard Attributes List]]," = ",IF(Table22[[#This Row],[Overwrite Value]]="",Table22[[#This Row],[Ref. Value]],Table22[[#This Row],[Overwrite Value]]))</f>
        <v>O.D. (IN) = 9.384</v>
      </c>
      <c r="I32" t="str">
        <f>IF(Table22[[#This Row],[Reference]]=Table22[[#This Row],[Output]],"OK","NG")</f>
        <v>OK</v>
      </c>
      <c r="J32" s="9" t="str">
        <f>RIGHT(Table22[[#This Row],[Output]],LEN(Table22[[#This Row],[Output]])-FIND("=",Table22[[#This Row],[Output]])-1)</f>
        <v>9.384</v>
      </c>
      <c r="K3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O.D. (IN) CHANGED TO "9.384"</v>
      </c>
      <c r="L32" t="str">
        <f>IF(CLEAN(Table22[[#This Row],[Ref. Value]])=CLEAN(Table22[[#This Row],[Overwrite Value]]),"OK","NG")</f>
        <v>OK</v>
      </c>
    </row>
    <row r="33" spans="1:14" ht="16" thickTop="1" thickBot="1">
      <c r="A33" s="12" t="s">
        <v>40</v>
      </c>
      <c r="B33" s="2" t="str">
        <f>SUBSTITUTE(SUBSTITUTE(SUBSTITUTE(Table22[[#This Row],[Standard Attributes List]]," ",""),".",""),"-","")</f>
        <v>OPERATIONSMANUAL</v>
      </c>
      <c r="C33" s="3" t="s">
        <v>135</v>
      </c>
      <c r="D33" s="3" t="str">
        <f>SUBSTITUTE(SUBSTITUTE(SUBSTITUTE(LEFT(Table22[[#This Row],[Reference]],FIND("=",Table22[[#This Row],[Reference]])-2)," ",""),".",""),"-","")</f>
        <v>OPERATIONSMANUAL</v>
      </c>
      <c r="E33" s="3" t="str">
        <f>TRIM(RIGHT(Table22[[#This Row],[Reference]],LEN(Table22[[#This Row],[Reference]])-FIND("=",Table22[[#This Row],[Reference]])-1))</f>
        <v>IT# 4270641</v>
      </c>
      <c r="F33" s="3" t="str">
        <f>VLOOKUP(Table22[[#This Row],[Column1]],D:E,2,FALSE)</f>
        <v>IT# 4270641</v>
      </c>
      <c r="G33" s="8" t="s">
        <v>157</v>
      </c>
      <c r="H33" s="4" t="str">
        <f>CONCATENATE(Table22[[#This Row],[Standard Attributes List]]," = ",IF(Table22[[#This Row],[Overwrite Value]]="",Table22[[#This Row],[Ref. Value]],Table22[[#This Row],[Overwrite Value]]))</f>
        <v>OPERATIONS MANUAL = IT# 4270641</v>
      </c>
      <c r="I33" t="str">
        <f>IF(Table22[[#This Row],[Reference]]=Table22[[#This Row],[Output]],"OK","NG")</f>
        <v>OK</v>
      </c>
      <c r="J33" s="9" t="str">
        <f>RIGHT(Table22[[#This Row],[Output]],LEN(Table22[[#This Row],[Output]])-FIND("=",Table22[[#This Row],[Output]])-1)</f>
        <v>IT# 4270641</v>
      </c>
      <c r="K3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OPERATIONS MANUAL CHANGED TO "IT# 4270641"</v>
      </c>
      <c r="L33" t="str">
        <f>IF(CLEAN(Table22[[#This Row],[Ref. Value]])=CLEAN(Table22[[#This Row],[Overwrite Value]]),"OK","NG")</f>
        <v>OK</v>
      </c>
    </row>
    <row r="34" spans="1:14" ht="16" thickTop="1" thickBot="1">
      <c r="A34" s="12" t="s">
        <v>10</v>
      </c>
      <c r="B34" s="2" t="str">
        <f>SUBSTITUTE(SUBSTITUTE(SUBSTITUTE(Table22[[#This Row],[Standard Attributes List]]," ",""),".",""),"-","")</f>
        <v>OVERALLLENGTH(IN)</v>
      </c>
      <c r="C34" s="3" t="s">
        <v>136</v>
      </c>
      <c r="D34" s="3" t="str">
        <f>SUBSTITUTE(SUBSTITUTE(SUBSTITUTE(LEFT(Table22[[#This Row],[Reference]],FIND("=",Table22[[#This Row],[Reference]])-2)," ",""),".",""),"-","")</f>
        <v>OVERALLLENGTH(IN)</v>
      </c>
      <c r="E34" s="3" t="str">
        <f>TRIM(RIGHT(Table22[[#This Row],[Reference]],LEN(Table22[[#This Row],[Reference]])-FIND("=",Table22[[#This Row],[Reference]])-1))</f>
        <v>102</v>
      </c>
      <c r="F34" s="3" t="str">
        <f>VLOOKUP(Table22[[#This Row],[Column1]],D:E,2,FALSE)</f>
        <v>102</v>
      </c>
      <c r="G34" s="8">
        <v>102</v>
      </c>
      <c r="H34" s="4" t="str">
        <f>CONCATENATE(Table22[[#This Row],[Standard Attributes List]]," = ",IF(Table22[[#This Row],[Overwrite Value]]="",Table22[[#This Row],[Ref. Value]],Table22[[#This Row],[Overwrite Value]]))</f>
        <v>OVERALL LENGTH (IN) = 102</v>
      </c>
      <c r="I34" t="str">
        <f>IF(Table22[[#This Row],[Reference]]=Table22[[#This Row],[Output]],"OK","NG")</f>
        <v>OK</v>
      </c>
      <c r="J34" s="9" t="str">
        <f>RIGHT(Table22[[#This Row],[Output]],LEN(Table22[[#This Row],[Output]])-FIND("=",Table22[[#This Row],[Output]])-1)</f>
        <v>102</v>
      </c>
      <c r="K3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OVERALL LENGTH (IN) CHANGED TO "102"</v>
      </c>
      <c r="L34" t="str">
        <f>IF(CLEAN(Table22[[#This Row],[Ref. Value]])=CLEAN(Table22[[#This Row],[Overwrite Value]]),"OK","NG")</f>
        <v>OK</v>
      </c>
    </row>
    <row r="35" spans="1:14" ht="16" thickTop="1" thickBot="1">
      <c r="A35" s="12" t="s">
        <v>25</v>
      </c>
      <c r="B35" s="2" t="str">
        <f>SUBSTITUTE(SUBSTITUTE(SUBSTITUTE(Table22[[#This Row],[Standard Attributes List]]," ",""),".",""),"-","")</f>
        <v>PACKERENVELOPEPOINTSISOLATEDLOAD(LBS)</v>
      </c>
      <c r="C35" s="3" t="s">
        <v>137</v>
      </c>
      <c r="D35" s="3" t="str">
        <f>SUBSTITUTE(SUBSTITUTE(SUBSTITUTE(LEFT(Table22[[#This Row],[Reference]],FIND("=",Table22[[#This Row],[Reference]])-2)," ",""),".",""),"-","")</f>
        <v>PACKERENVELOPEPOINTSISOLATEDLOAD(LBS)</v>
      </c>
      <c r="E35" s="3" t="str">
        <f>TRIM(RIGHT(Table22[[#This Row],[Reference]],LEN(Table22[[#This Row],[Reference]])-FIND("=",Table22[[#This Row],[Reference]])-1))</f>
        <v>427813, 600000, 600000, 590000, 169805, -600000, -600000</v>
      </c>
      <c r="F35" s="3" t="str">
        <f>VLOOKUP(Table22[[#This Row],[Column1]],D:E,2,FALSE)</f>
        <v>427813, 600000, 600000, 590000, 169805, -600000, -600000</v>
      </c>
      <c r="G35" s="8" t="s">
        <v>158</v>
      </c>
      <c r="H35" s="4" t="str">
        <f>CONCATENATE(Table22[[#This Row],[Standard Attributes List]]," = ",IF(Table22[[#This Row],[Overwrite Value]]="",Table22[[#This Row],[Ref. Value]],Table22[[#This Row],[Overwrite Value]]))</f>
        <v>PACKER ENVELOPE POINTS ISOLATED - LOAD (LBS) = 427813, 600000, 600000, 590000, 169805, -600000, -600000</v>
      </c>
      <c r="I35" t="str">
        <f>IF(Table22[[#This Row],[Reference]]=Table22[[#This Row],[Output]],"OK","NG")</f>
        <v>OK</v>
      </c>
      <c r="J35" s="9" t="str">
        <f>RIGHT(Table22[[#This Row],[Output]],LEN(Table22[[#This Row],[Output]])-FIND("=",Table22[[#This Row],[Output]])-1)</f>
        <v>427813, 600000, 600000, 590000, 169805, -600000, -600000</v>
      </c>
      <c r="K35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ISOLATED - LOAD (LBS) CHANGED TO "427813, 600000, 600000, 590000, 169805, -600000, -600000"</v>
      </c>
      <c r="L35" t="str">
        <f>IF(CLEAN(Table22[[#This Row],[Ref. Value]])=CLEAN(Table22[[#This Row],[Overwrite Value]]),"OK","NG")</f>
        <v>OK</v>
      </c>
    </row>
    <row r="36" spans="1:14" ht="16" thickTop="1" thickBot="1">
      <c r="A36" s="12" t="s">
        <v>26</v>
      </c>
      <c r="B36" s="2" t="str">
        <f>SUBSTITUTE(SUBSTITUTE(SUBSTITUTE(Table22[[#This Row],[Standard Attributes List]]," ",""),".",""),"-","")</f>
        <v>PACKERENVELOPEPOINTSISOLATEDPRESSURE(PSI)</v>
      </c>
      <c r="C36" s="3" t="s">
        <v>138</v>
      </c>
      <c r="D36" s="3" t="str">
        <f>SUBSTITUTE(SUBSTITUTE(SUBSTITUTE(LEFT(Table22[[#This Row],[Reference]],FIND("=",Table22[[#This Row],[Reference]])-2)," ",""),".",""),"-","")</f>
        <v>PACKERENVELOPEPOINTSISOLATEDPRESSURE(PSI)</v>
      </c>
      <c r="E36" s="3" t="str">
        <f>TRIM(RIGHT(Table22[[#This Row],[Reference]],LEN(Table22[[#This Row],[Reference]])-FIND("=",Table22[[#This Row],[Reference]])-1))</f>
        <v>-7500, -5836, 1326, 1585, 6000, 6000, -7500</v>
      </c>
      <c r="F36" s="3" t="str">
        <f>VLOOKUP(Table22[[#This Row],[Column1]],D:E,2,FALSE)</f>
        <v>-7500, -5836, 1326, 1585, 6000, 6000, -7500</v>
      </c>
      <c r="G36" s="8" t="s">
        <v>159</v>
      </c>
      <c r="H36" s="4" t="str">
        <f>CONCATENATE(Table22[[#This Row],[Standard Attributes List]]," = ",IF(Table22[[#This Row],[Overwrite Value]]="",Table22[[#This Row],[Ref. Value]],Table22[[#This Row],[Overwrite Value]]))</f>
        <v>PACKER ENVELOPE POINTS ISOLATED - PRESSURE (PSI) = -7500, -5836, 1326, 1585, 6000, 6000, -7500</v>
      </c>
      <c r="I36" t="str">
        <f>IF(Table22[[#This Row],[Reference]]=Table22[[#This Row],[Output]],"OK","NG")</f>
        <v>OK</v>
      </c>
      <c r="J36" s="9" t="str">
        <f>RIGHT(Table22[[#This Row],[Output]],LEN(Table22[[#This Row],[Output]])-FIND("=",Table22[[#This Row],[Output]])-1)</f>
        <v>-7500, -5836, 1326, 1585, 6000, 6000, -7500</v>
      </c>
      <c r="K36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ISOLATED - PRESSURE (PSI) CHANGED TO "-7500, -5836, 1326, 1585, 6000, 6000, -7500"</v>
      </c>
      <c r="L36" t="str">
        <f>IF(CLEAN(Table22[[#This Row],[Ref. Value]])=CLEAN(Table22[[#This Row],[Overwrite Value]]),"OK","NG")</f>
        <v>OK</v>
      </c>
    </row>
    <row r="37" spans="1:14" ht="16" thickTop="1" thickBot="1">
      <c r="A37" s="12" t="s">
        <v>27</v>
      </c>
      <c r="B37" s="2" t="str">
        <f>SUBSTITUTE(SUBSTITUTE(SUBSTITUTE(Table22[[#This Row],[Standard Attributes List]]," ",""),".",""),"-","")</f>
        <v>PACKERENVELOPEPOINTSPLUGGEDBELOWLOAD(LBS)</v>
      </c>
      <c r="C37" s="3" t="s">
        <v>139</v>
      </c>
      <c r="D37" s="3" t="str">
        <f>SUBSTITUTE(SUBSTITUTE(SUBSTITUTE(LEFT(Table22[[#This Row],[Reference]],FIND("=",Table22[[#This Row],[Reference]])-2)," ",""),".",""),"-","")</f>
        <v>PACKERENVELOPEPOINTSPLUGGEDBELOWLOAD(LBS)</v>
      </c>
      <c r="E37" s="3" t="str">
        <f>TRIM(RIGHT(Table22[[#This Row],[Reference]],LEN(Table22[[#This Row],[Reference]])-FIND("=",Table22[[#This Row],[Reference]])-1))</f>
        <v>582000, 600000, 600000, 590000, 169805, -600000, -600000, -455346</v>
      </c>
      <c r="F37" s="3" t="str">
        <f>VLOOKUP(Table22[[#This Row],[Column1]],D:E,2,FALSE)</f>
        <v>582000, 600000, 600000, 590000, 169805, -600000, -600000, -455346</v>
      </c>
      <c r="G37" s="8" t="s">
        <v>160</v>
      </c>
      <c r="H37" s="4" t="str">
        <f>CONCATENATE(Table22[[#This Row],[Standard Attributes List]]," = ",IF(Table22[[#This Row],[Overwrite Value]]="",Table22[[#This Row],[Ref. Value]],Table22[[#This Row],[Overwrite Value]]))</f>
        <v>PACKER ENVELOPE POINTS PLUGGED - BELOW - LOAD (LBS) = 582000, 600000, 600000, 590000, 169805, -600000, -600000, -455346</v>
      </c>
      <c r="I37" t="str">
        <f>IF(Table22[[#This Row],[Reference]]=Table22[[#This Row],[Output]],"OK","NG")</f>
        <v>OK</v>
      </c>
      <c r="J37" s="9" t="str">
        <f>RIGHT(Table22[[#This Row],[Output]],LEN(Table22[[#This Row],[Output]])-FIND("=",Table22[[#This Row],[Output]])-1)</f>
        <v>582000, 600000, 600000, 590000, 169805, -600000, -600000, -455346</v>
      </c>
      <c r="K37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PLUGGED - BELOW - LOAD (LBS) CHANGED TO "582000, 600000, 600000, 590000, 169805, -600000, -600000, -455346"</v>
      </c>
      <c r="L37" t="str">
        <f>IF(CLEAN(Table22[[#This Row],[Ref. Value]])=CLEAN(Table22[[#This Row],[Overwrite Value]]),"OK","NG")</f>
        <v>OK</v>
      </c>
    </row>
    <row r="38" spans="1:14" ht="16" thickTop="1" thickBot="1">
      <c r="A38" s="12" t="s">
        <v>28</v>
      </c>
      <c r="B38" s="2" t="str">
        <f>SUBSTITUTE(SUBSTITUTE(SUBSTITUTE(Table22[[#This Row],[Standard Attributes List]]," ",""),".",""),"-","")</f>
        <v>PACKERENVELOPEPOINTSPLUGGEDBELOWPRESSURE(PSI)</v>
      </c>
      <c r="C38" s="3" t="s">
        <v>140</v>
      </c>
      <c r="D38" s="3" t="str">
        <f>SUBSTITUTE(SUBSTITUTE(SUBSTITUTE(LEFT(Table22[[#This Row],[Reference]],FIND("=",Table22[[#This Row],[Reference]])-2)," ",""),".",""),"-","")</f>
        <v>PACKERENVELOPEPOINTSPLUGGEDBELOWPRESSURE(PSI)</v>
      </c>
      <c r="E38" s="3" t="str">
        <f>TRIM(RIGHT(Table22[[#This Row],[Reference]],LEN(Table22[[#This Row],[Reference]])-FIND("=",Table22[[#This Row],[Reference]])-1))</f>
        <v>-6000, -5836, 1326, 1585, 6000, 6000, -3375, -6000</v>
      </c>
      <c r="F38" s="3" t="str">
        <f>VLOOKUP(Table22[[#This Row],[Column1]],D:E,2,FALSE)</f>
        <v>-6000, -5836, 1326, 1585, 6000, 6000, -3375, -6000</v>
      </c>
      <c r="G38" s="8" t="s">
        <v>161</v>
      </c>
      <c r="H38" s="4" t="str">
        <f>CONCATENATE(Table22[[#This Row],[Standard Attributes List]]," = ",IF(Table22[[#This Row],[Overwrite Value]]="",Table22[[#This Row],[Ref. Value]],Table22[[#This Row],[Overwrite Value]]))</f>
        <v>PACKER ENVELOPE POINTS PLUGGED - BELOW - PRESSURE (PSI) = -6000, -5836, 1326, 1585, 6000, 6000, -3375, -6000</v>
      </c>
      <c r="I38" t="str">
        <f>IF(Table22[[#This Row],[Reference]]=Table22[[#This Row],[Output]],"OK","NG")</f>
        <v>OK</v>
      </c>
      <c r="J38" s="9" t="str">
        <f>RIGHT(Table22[[#This Row],[Output]],LEN(Table22[[#This Row],[Output]])-FIND("=",Table22[[#This Row],[Output]])-1)</f>
        <v>-6000, -5836, 1326, 1585, 6000, 6000, -3375, -6000</v>
      </c>
      <c r="K38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PLUGGED - BELOW - PRESSURE (PSI) CHANGED TO "-6000, -5836, 1326, 1585, 6000, 6000, -3375, -6000"</v>
      </c>
      <c r="L38" t="str">
        <f>IF(CLEAN(Table22[[#This Row],[Ref. Value]])=CLEAN(Table22[[#This Row],[Overwrite Value]]),"OK","NG")</f>
        <v>OK</v>
      </c>
    </row>
    <row r="39" spans="1:14" ht="16" thickTop="1" thickBot="1">
      <c r="A39" s="7" t="s">
        <v>29</v>
      </c>
      <c r="B39" s="2" t="str">
        <f>SUBSTITUTE(SUBSTITUTE(SUBSTITUTE(Table22[[#This Row],[Standard Attributes List]]," ",""),".",""),"-","")</f>
        <v>PACKERENVELOPEPOINTSUNPLUGGEDLOAD(LBS)</v>
      </c>
      <c r="C39" s="3" t="s">
        <v>141</v>
      </c>
      <c r="D39" s="3" t="str">
        <f>SUBSTITUTE(SUBSTITUTE(SUBSTITUTE(LEFT(Table22[[#This Row],[Reference]],FIND("=",Table22[[#This Row],[Reference]])-2)," ",""),".",""),"-","")</f>
        <v>PACKERENVELOPEPOINTSUNPLUGGEDLOAD(LBS)</v>
      </c>
      <c r="E39" s="3" t="str">
        <f>TRIM(RIGHT(Table22[[#This Row],[Reference]],LEN(Table22[[#This Row],[Reference]])-FIND("=",Table22[[#This Row],[Reference]])-1))</f>
        <v>427813, 600000, 600000, 370077, -502601, -600000, -600000</v>
      </c>
      <c r="F39" s="3" t="str">
        <f>VLOOKUP(Table22[[#This Row],[Column1]],D:E,2,FALSE)</f>
        <v>427813, 600000, 600000, 370077, -502601, -600000, -600000</v>
      </c>
      <c r="G39" s="8" t="s">
        <v>162</v>
      </c>
      <c r="H39" s="4" t="str">
        <f>CONCATENATE(Table22[[#This Row],[Standard Attributes List]]," = ",IF(Table22[[#This Row],[Overwrite Value]]="",Table22[[#This Row],[Ref. Value]],Table22[[#This Row],[Overwrite Value]]))</f>
        <v>PACKER ENVELOPE POINTS UNPLUGGED - LOAD (LBS) = 427813, 600000, 600000, 370077, -502601, -600000, -600000</v>
      </c>
      <c r="I39" t="str">
        <f>IF(Table22[[#This Row],[Reference]]=Table22[[#This Row],[Output]],"OK","NG")</f>
        <v>OK</v>
      </c>
      <c r="J39" s="9" t="str">
        <f>RIGHT(Table22[[#This Row],[Output]],LEN(Table22[[#This Row],[Output]])-FIND("=",Table22[[#This Row],[Output]])-1)</f>
        <v>427813, 600000, 600000, 370077, -502601, -600000, -600000</v>
      </c>
      <c r="K39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UNPLUGGED - LOAD (LBS) CHANGED TO "427813, 600000, 600000, 370077, -502601, -600000, -600000"</v>
      </c>
      <c r="L39" t="str">
        <f>IF(CLEAN(Table22[[#This Row],[Ref. Value]])=CLEAN(Table22[[#This Row],[Overwrite Value]]),"OK","NG")</f>
        <v>OK</v>
      </c>
    </row>
    <row r="40" spans="1:14" ht="16" thickTop="1" thickBot="1">
      <c r="A40" s="7" t="s">
        <v>30</v>
      </c>
      <c r="B40" s="2" t="str">
        <f>SUBSTITUTE(SUBSTITUTE(SUBSTITUTE(Table22[[#This Row],[Standard Attributes List]]," ",""),".",""),"-","")</f>
        <v>PACKERENVELOPEPOINTSUNPLUGGEDPRESSURE(PSI)</v>
      </c>
      <c r="C40" s="3" t="s">
        <v>142</v>
      </c>
      <c r="D40" s="3" t="str">
        <f>SUBSTITUTE(SUBSTITUTE(SUBSTITUTE(LEFT(Table22[[#This Row],[Reference]],FIND("=",Table22[[#This Row],[Reference]])-2)," ",""),".",""),"-","")</f>
        <v>PACKERENVELOPEPOINTSUNPLUGGEDPRESSURE(PSI)</v>
      </c>
      <c r="E40" s="3" t="str">
        <f>TRIM(RIGHT(Table22[[#This Row],[Reference]],LEN(Table22[[#This Row],[Reference]])-FIND("=",Table22[[#This Row],[Reference]])-1))</f>
        <v>-7500, -5836, 1326, 7500, 7500, 6458, -7500</v>
      </c>
      <c r="F40" s="3" t="str">
        <f>VLOOKUP(Table22[[#This Row],[Column1]],D:E,2,FALSE)</f>
        <v>-7500, -5836, 1326, 7500, 7500, 6458, -7500</v>
      </c>
      <c r="G40" s="8" t="s">
        <v>163</v>
      </c>
      <c r="H40" s="4" t="str">
        <f>CONCATENATE(Table22[[#This Row],[Standard Attributes List]]," = ",IF(Table22[[#This Row],[Overwrite Value]]="",Table22[[#This Row],[Ref. Value]],Table22[[#This Row],[Overwrite Value]]))</f>
        <v>PACKER ENVELOPE POINTS UNPLUGGED - PRESSURE (PSI) = -7500, -5836, 1326, 7500, 7500, 6458, -7500</v>
      </c>
      <c r="I40" t="str">
        <f>IF(Table22[[#This Row],[Reference]]=Table22[[#This Row],[Output]],"OK","NG")</f>
        <v>OK</v>
      </c>
      <c r="J40" s="9" t="str">
        <f>RIGHT(Table22[[#This Row],[Output]],LEN(Table22[[#This Row],[Output]])-FIND("=",Table22[[#This Row],[Output]])-1)</f>
        <v>-7500, -5836, 1326, 7500, 7500, 6458, -7500</v>
      </c>
      <c r="K40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UNPLUGGED - PRESSURE (PSI) CHANGED TO "-7500, -5836, 1326, 7500, 7500, 6458, -7500"</v>
      </c>
      <c r="L40" t="str">
        <f>IF(CLEAN(Table22[[#This Row],[Ref. Value]])=CLEAN(Table22[[#This Row],[Overwrite Value]]),"OK","NG")</f>
        <v>OK</v>
      </c>
      <c r="N40" s="11"/>
    </row>
    <row r="41" spans="1:14" ht="16" thickTop="1" thickBot="1">
      <c r="A41" s="7" t="s">
        <v>41</v>
      </c>
      <c r="B41" s="2" t="str">
        <f>SUBSTITUTE(SUBSTITUTE(SUBSTITUTE(Table22[[#This Row],[Standard Attributes List]]," ",""),".",""),"-","")</f>
        <v>QUALITYCONTROLGRADE</v>
      </c>
      <c r="C41" s="3" t="s">
        <v>60</v>
      </c>
      <c r="D41" s="3" t="str">
        <f>SUBSTITUTE(SUBSTITUTE(SUBSTITUTE(LEFT(Table22[[#This Row],[Reference]],FIND("=",Table22[[#This Row],[Reference]])-2)," ",""),".",""),"-","")</f>
        <v>QUALITYCONTROLGRADE</v>
      </c>
      <c r="E41" s="3" t="str">
        <f>TRIM(RIGHT(Table22[[#This Row],[Reference]],LEN(Table22[[#This Row],[Reference]])-FIND("=",Table22[[#This Row],[Reference]])-1))</f>
        <v>Q3</v>
      </c>
      <c r="F41" s="3" t="str">
        <f>VLOOKUP(Table22[[#This Row],[Column1]],D:E,2,FALSE)</f>
        <v>Q3</v>
      </c>
      <c r="G41" s="8" t="s">
        <v>57</v>
      </c>
      <c r="H41" s="4" t="str">
        <f>CONCATENATE(Table22[[#This Row],[Standard Attributes List]]," = ",IF(Table22[[#This Row],[Overwrite Value]]="",Table22[[#This Row],[Ref. Value]],Table22[[#This Row],[Overwrite Value]]))</f>
        <v>QUALITY CONTROL GRADE = Q3</v>
      </c>
      <c r="I41" t="str">
        <f>IF(Table22[[#This Row],[Reference]]=Table22[[#This Row],[Output]],"OK","NG")</f>
        <v>OK</v>
      </c>
      <c r="J41" s="9" t="str">
        <f>RIGHT(Table22[[#This Row],[Output]],LEN(Table22[[#This Row],[Output]])-FIND("=",Table22[[#This Row],[Output]])-1)</f>
        <v>Q3</v>
      </c>
      <c r="K41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QUALITY CONTROL GRADE CHANGED TO "Q3"</v>
      </c>
      <c r="L41" t="str">
        <f>IF(CLEAN(Table22[[#This Row],[Ref. Value]])=CLEAN(Table22[[#This Row],[Overwrite Value]]),"OK","NG")</f>
        <v>OK</v>
      </c>
      <c r="N41" s="11"/>
    </row>
    <row r="42" spans="1:14" ht="16" thickTop="1" thickBot="1">
      <c r="A42" s="7" t="s">
        <v>11</v>
      </c>
      <c r="B42" s="2" t="str">
        <f>SUBSTITUTE(SUBSTITUTE(SUBSTITUTE(Table22[[#This Row],[Standard Attributes List]]," ",""),".",""),"-","")</f>
        <v>QUALITYCONTROLPLANQCP</v>
      </c>
      <c r="C42" s="3" t="s">
        <v>55</v>
      </c>
      <c r="D42" s="3" t="str">
        <f>SUBSTITUTE(SUBSTITUTE(SUBSTITUTE(LEFT(Table22[[#This Row],[Reference]],FIND("=",Table22[[#This Row],[Reference]])-2)," ",""),".",""),"-","")</f>
        <v>QUALITYCONTROLPLANQCP</v>
      </c>
      <c r="E42" s="3" t="str">
        <f>TRIM(RIGHT(Table22[[#This Row],[Reference]],LEN(Table22[[#This Row],[Reference]])-FIND("=",Table22[[#This Row],[Reference]])-1))</f>
        <v>STD SLB</v>
      </c>
      <c r="F42" s="3" t="str">
        <f>VLOOKUP(Table22[[#This Row],[Column1]],D:E,2,FALSE)</f>
        <v>STD SLB</v>
      </c>
      <c r="G42" s="8" t="s">
        <v>105</v>
      </c>
      <c r="H42" s="4" t="str">
        <f>CONCATENATE(Table22[[#This Row],[Standard Attributes List]]," = ",IF(Table22[[#This Row],[Overwrite Value]]="",Table22[[#This Row],[Ref. Value]],Table22[[#This Row],[Overwrite Value]]))</f>
        <v>QUALITY CONTROL PLAN - QCP = STD SLB</v>
      </c>
      <c r="I42" t="str">
        <f>IF(Table22[[#This Row],[Reference]]=Table22[[#This Row],[Output]],"OK","NG")</f>
        <v>OK</v>
      </c>
      <c r="J42" s="9" t="str">
        <f>RIGHT(Table22[[#This Row],[Output]],LEN(Table22[[#This Row],[Output]])-FIND("=",Table22[[#This Row],[Output]])-1)</f>
        <v>STD SLB</v>
      </c>
      <c r="K4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QUALITY CONTROL PLAN - QCP CHANGED TO "STD SLB"</v>
      </c>
      <c r="L42" t="str">
        <f>IF(CLEAN(Table22[[#This Row],[Ref. Value]])=CLEAN(Table22[[#This Row],[Overwrite Value]]),"OK","NG")</f>
        <v>OK</v>
      </c>
      <c r="N42" s="11"/>
    </row>
    <row r="43" spans="1:14" ht="16" thickTop="1" thickBot="1">
      <c r="A43" s="7" t="s">
        <v>42</v>
      </c>
      <c r="B43" s="2" t="str">
        <f>SUBSTITUTE(SUBSTITUTE(SUBSTITUTE(Table22[[#This Row],[Standard Attributes List]]," ",""),".",""),"-","")</f>
        <v>RETRIEVALMETHOD</v>
      </c>
      <c r="C43" s="3" t="s">
        <v>96</v>
      </c>
      <c r="D43" s="3" t="str">
        <f>SUBSTITUTE(SUBSTITUTE(SUBSTITUTE(LEFT(Table22[[#This Row],[Reference]],FIND("=",Table22[[#This Row],[Reference]])-2)," ",""),".",""),"-","")</f>
        <v>RETRIEVALMETHOD</v>
      </c>
      <c r="E43" s="3" t="str">
        <f>TRIM(RIGHT(Table22[[#This Row],[Reference]],LEN(Table22[[#This Row],[Reference]])-FIND("=",Table22[[#This Row],[Reference]])-1))</f>
        <v>CUT-TO-RELEASE</v>
      </c>
      <c r="F43" s="3" t="str">
        <f>VLOOKUP(Table22[[#This Row],[Column1]],D:E,2,FALSE)</f>
        <v>CUT-TO-RELEASE</v>
      </c>
      <c r="G43" s="8" t="s">
        <v>106</v>
      </c>
      <c r="H43" s="4" t="str">
        <f>CONCATENATE(Table22[[#This Row],[Standard Attributes List]]," = ",IF(Table22[[#This Row],[Overwrite Value]]="",Table22[[#This Row],[Ref. Value]],Table22[[#This Row],[Overwrite Value]]))</f>
        <v>RETRIEVAL METHOD = CUT-TO-RELEASE</v>
      </c>
      <c r="I43" t="str">
        <f>IF(Table22[[#This Row],[Reference]]=Table22[[#This Row],[Output]],"OK","NG")</f>
        <v>OK</v>
      </c>
      <c r="J43" s="9" t="str">
        <f>RIGHT(Table22[[#This Row],[Output]],LEN(Table22[[#This Row],[Output]])-FIND("=",Table22[[#This Row],[Output]])-1)</f>
        <v>CUT-TO-RELEASE</v>
      </c>
      <c r="K4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RETRIEVAL METHOD CHANGED TO "CUT-TO-RELEASE"</v>
      </c>
      <c r="L43" t="str">
        <f>IF(CLEAN(Table22[[#This Row],[Ref. Value]])=CLEAN(Table22[[#This Row],[Overwrite Value]]),"OK","NG")</f>
        <v>OK</v>
      </c>
      <c r="N43" s="11"/>
    </row>
    <row r="44" spans="1:14" ht="16" thickTop="1" thickBot="1">
      <c r="A44" s="7" t="s">
        <v>31</v>
      </c>
      <c r="B44" s="2" t="str">
        <f>SUBSTITUTE(SUBSTITUTE(SUBSTITUTE(Table22[[#This Row],[Standard Attributes List]]," ",""),".",""),"-","")</f>
        <v>SEALDIAMETER(IN)</v>
      </c>
      <c r="C44" s="3" t="s">
        <v>143</v>
      </c>
      <c r="D44" s="3" t="str">
        <f>SUBSTITUTE(SUBSTITUTE(SUBSTITUTE(LEFT(Table22[[#This Row],[Reference]],FIND("=",Table22[[#This Row],[Reference]])-2)," ",""),".",""),"-","")</f>
        <v>SEALDIAMETER(IN)</v>
      </c>
      <c r="E44" s="3" t="str">
        <f>TRIM(RIGHT(Table22[[#This Row],[Reference]],LEN(Table22[[#This Row],[Reference]])-FIND("=",Table22[[#This Row],[Reference]])-1))</f>
        <v>7.000</v>
      </c>
      <c r="F44" s="3" t="str">
        <f>VLOOKUP(Table22[[#This Row],[Column1]],D:E,2,FALSE)</f>
        <v>7.000</v>
      </c>
      <c r="G44" s="8" t="s">
        <v>171</v>
      </c>
      <c r="H44" s="4" t="str">
        <f>CONCATENATE(Table22[[#This Row],[Standard Attributes List]]," = ",IF(Table22[[#This Row],[Overwrite Value]]="",Table22[[#This Row],[Ref. Value]],Table22[[#This Row],[Overwrite Value]]))</f>
        <v>SEAL DIAMETER (IN) = 7.000</v>
      </c>
      <c r="I44" t="str">
        <f>IF(Table22[[#This Row],[Reference]]=Table22[[#This Row],[Output]],"OK","NG")</f>
        <v>OK</v>
      </c>
      <c r="J44" s="9" t="str">
        <f>RIGHT(Table22[[#This Row],[Output]],LEN(Table22[[#This Row],[Output]])-FIND("=",Table22[[#This Row],[Output]])-1)</f>
        <v>7.000</v>
      </c>
      <c r="K4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SEAL DIAMETER (IN) CHANGED TO "7.000"</v>
      </c>
      <c r="L44" t="str">
        <f>IF(CLEAN(Table22[[#This Row],[Ref. Value]])=CLEAN(Table22[[#This Row],[Overwrite Value]]),"OK","NG")</f>
        <v>OK</v>
      </c>
      <c r="N44" s="11"/>
    </row>
    <row r="45" spans="1:14" ht="16" thickTop="1" thickBot="1">
      <c r="A45" s="7" t="s">
        <v>12</v>
      </c>
      <c r="B45" s="2" t="str">
        <f>SUBSTITUTE(SUBSTITUTE(SUBSTITUTE(Table22[[#This Row],[Standard Attributes List]]," ",""),".",""),"-","")</f>
        <v>SERVICENACE(YES/NO)</v>
      </c>
      <c r="C45" s="3" t="s">
        <v>49</v>
      </c>
      <c r="D45" s="3" t="str">
        <f>SUBSTITUTE(SUBSTITUTE(SUBSTITUTE(LEFT(Table22[[#This Row],[Reference]],FIND("=",Table22[[#This Row],[Reference]])-2)," ",""),".",""),"-","")</f>
        <v>SERVICENACE(YES/NO)</v>
      </c>
      <c r="E45" s="3" t="str">
        <f>TRIM(RIGHT(Table22[[#This Row],[Reference]],LEN(Table22[[#This Row],[Reference]])-FIND("=",Table22[[#This Row],[Reference]])-1))</f>
        <v>YES</v>
      </c>
      <c r="F45" s="3" t="str">
        <f>VLOOKUP(Table22[[#This Row],[Column1]],D:E,2,FALSE)</f>
        <v>YES</v>
      </c>
      <c r="G45" s="8" t="s">
        <v>107</v>
      </c>
      <c r="H45" s="4" t="str">
        <f>CONCATENATE(Table22[[#This Row],[Standard Attributes List]]," = ",IF(Table22[[#This Row],[Overwrite Value]]="",Table22[[#This Row],[Ref. Value]],Table22[[#This Row],[Overwrite Value]]))</f>
        <v>SERVICE NACE (YES/NO) = YES</v>
      </c>
      <c r="I45" t="str">
        <f>IF(Table22[[#This Row],[Reference]]=Table22[[#This Row],[Output]],"OK","NG")</f>
        <v>OK</v>
      </c>
      <c r="J45" s="9" t="str">
        <f>RIGHT(Table22[[#This Row],[Output]],LEN(Table22[[#This Row],[Output]])-FIND("=",Table22[[#This Row],[Output]])-1)</f>
        <v>YES</v>
      </c>
      <c r="K45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SERVICE NACE (YES/NO) CHANGED TO "YES"</v>
      </c>
      <c r="L45" t="str">
        <f>IF(CLEAN(Table22[[#This Row],[Ref. Value]])=CLEAN(Table22[[#This Row],[Overwrite Value]]),"OK","NG")</f>
        <v>OK</v>
      </c>
      <c r="N45" s="11"/>
    </row>
    <row r="46" spans="1:14" ht="16" thickTop="1" thickBot="1">
      <c r="A46" s="7" t="s">
        <v>32</v>
      </c>
      <c r="B46" s="2" t="str">
        <f>SUBSTITUTE(SUBSTITUTE(SUBSTITUTE(Table22[[#This Row],[Standard Attributes List]]," ",""),".",""),"-","")</f>
        <v>SETTINGDIFFERENTIALPRESSURERECOMMENDED(MIN)(PSI)</v>
      </c>
      <c r="C46" s="3" t="s">
        <v>98</v>
      </c>
      <c r="D46" s="3" t="str">
        <f>SUBSTITUTE(SUBSTITUTE(SUBSTITUTE(LEFT(Table22[[#This Row],[Reference]],FIND("=",Table22[[#This Row],[Reference]])-2)," ",""),".",""),"-","")</f>
        <v>SETTINGDIFFERENTIALPRESSURERECOMMENDED(MIN)(PSI)</v>
      </c>
      <c r="E46" s="3" t="str">
        <f>TRIM(RIGHT(Table22[[#This Row],[Reference]],LEN(Table22[[#This Row],[Reference]])-FIND("=",Table22[[#This Row],[Reference]])-1))</f>
        <v>4000</v>
      </c>
      <c r="F46" s="3" t="str">
        <f>VLOOKUP(Table22[[#This Row],[Column1]],D:E,2,FALSE)</f>
        <v>4000</v>
      </c>
      <c r="G46" s="8">
        <v>4000</v>
      </c>
      <c r="H46" s="4" t="str">
        <f>CONCATENATE(Table22[[#This Row],[Standard Attributes List]]," = ",IF(Table22[[#This Row],[Overwrite Value]]="",Table22[[#This Row],[Ref. Value]],Table22[[#This Row],[Overwrite Value]]))</f>
        <v>SETTING DIFFERENTIAL PRESSURE - RECOMMENDED (MIN)(PSI) = 4000</v>
      </c>
      <c r="I46" t="str">
        <f>IF(Table22[[#This Row],[Reference]]=Table22[[#This Row],[Output]],"OK","NG")</f>
        <v>OK</v>
      </c>
      <c r="J46" s="9" t="str">
        <f>RIGHT(Table22[[#This Row],[Output]],LEN(Table22[[#This Row],[Output]])-FIND("=",Table22[[#This Row],[Output]])-1)</f>
        <v>4000</v>
      </c>
      <c r="K46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SETTING DIFFERENTIAL PRESSURE - RECOMMENDED (MIN)(PSI) CHANGED TO "4000"</v>
      </c>
      <c r="L46" t="str">
        <f>IF(CLEAN(Table22[[#This Row],[Ref. Value]])=CLEAN(Table22[[#This Row],[Overwrite Value]]),"OK","NG")</f>
        <v>OK</v>
      </c>
      <c r="N46" s="11"/>
    </row>
    <row r="47" spans="1:14" ht="16" thickTop="1" thickBot="1">
      <c r="A47" s="7" t="s">
        <v>43</v>
      </c>
      <c r="B47" s="2" t="str">
        <f>SUBSTITUTE(SUBSTITUTE(SUBSTITUTE(Table22[[#This Row],[Standard Attributes List]]," ",""),".",""),"-","")</f>
        <v>SETTINGMETHOD</v>
      </c>
      <c r="C47" s="3" t="s">
        <v>144</v>
      </c>
      <c r="D47" s="3" t="str">
        <f>SUBSTITUTE(SUBSTITUTE(SUBSTITUTE(LEFT(Table22[[#This Row],[Reference]],FIND("=",Table22[[#This Row],[Reference]])-2)," ",""),".",""),"-","")</f>
        <v>SETTINGMETHOD</v>
      </c>
      <c r="E47" s="3" t="str">
        <f>TRIM(RIGHT(Table22[[#This Row],[Reference]],LEN(Table22[[#This Row],[Reference]])-FIND("=",Table22[[#This Row],[Reference]])-1))</f>
        <v>CONTROL LINE</v>
      </c>
      <c r="F47" s="3" t="str">
        <f>VLOOKUP(Table22[[#This Row],[Column1]],D:E,2,FALSE)</f>
        <v>CONTROL LINE</v>
      </c>
      <c r="G47" s="8" t="s">
        <v>164</v>
      </c>
      <c r="H47" s="4" t="str">
        <f>CONCATENATE(Table22[[#This Row],[Standard Attributes List]]," = ",IF(Table22[[#This Row],[Overwrite Value]]="",Table22[[#This Row],[Ref. Value]],Table22[[#This Row],[Overwrite Value]]))</f>
        <v>SETTING METHOD = CONTROL LINE</v>
      </c>
      <c r="I47" t="str">
        <f>IF(Table22[[#This Row],[Reference]]=Table22[[#This Row],[Output]],"OK","NG")</f>
        <v>OK</v>
      </c>
      <c r="J47" s="9" t="str">
        <f>RIGHT(Table22[[#This Row],[Output]],LEN(Table22[[#This Row],[Output]])-FIND("=",Table22[[#This Row],[Output]])-1)</f>
        <v>CONTROL LINE</v>
      </c>
      <c r="K47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SETTING METHOD CHANGED TO "CONTROL LINE"</v>
      </c>
      <c r="L47" t="str">
        <f>IF(CLEAN(Table22[[#This Row],[Ref. Value]])=CLEAN(Table22[[#This Row],[Overwrite Value]]),"OK","NG")</f>
        <v>OK</v>
      </c>
      <c r="N47" s="11"/>
    </row>
    <row r="48" spans="1:14" ht="16" thickTop="1" thickBot="1">
      <c r="A48" s="7" t="s">
        <v>108</v>
      </c>
      <c r="B48" s="2" t="str">
        <f>SUBSTITUTE(SUBSTITUTE(SUBSTITUTE(Table22[[#This Row],[Standard Attributes List]]," ",""),".",""),"-","")</f>
        <v>SETTINGPRESSURE1STSHEAR(PSI)</v>
      </c>
      <c r="C48" s="3" t="s">
        <v>284</v>
      </c>
      <c r="D48" s="3" t="str">
        <f>SUBSTITUTE(SUBSTITUTE(SUBSTITUTE(LEFT(Table22[[#This Row],[Reference]],FIND("=",Table22[[#This Row],[Reference]])-2)," ",""),".",""),"-","")</f>
        <v>SETTINGPRESSURE1STSHEAR(PSI)</v>
      </c>
      <c r="E48" s="3" t="str">
        <f>TRIM(RIGHT(Table22[[#This Row],[Reference]],LEN(Table22[[#This Row],[Reference]])-FIND("=",Table22[[#This Row],[Reference]])-1))</f>
        <v>2208</v>
      </c>
      <c r="F48" s="3" t="str">
        <f>VLOOKUP(Table22[[#This Row],[Column1]],D:E,2,FALSE)</f>
        <v>2208</v>
      </c>
      <c r="G48" s="8">
        <v>2208</v>
      </c>
      <c r="H48" s="4" t="str">
        <f>CONCATENATE(Table22[[#This Row],[Standard Attributes List]]," = ",IF(Table22[[#This Row],[Overwrite Value]]="",Table22[[#This Row],[Ref. Value]],Table22[[#This Row],[Overwrite Value]]))</f>
        <v>SETTING PRESSURE 1ST SHEAR (PSI) = 2208</v>
      </c>
      <c r="I48" t="str">
        <f>IF(Table22[[#This Row],[Reference]]=Table22[[#This Row],[Output]],"OK","NG")</f>
        <v>OK</v>
      </c>
      <c r="J48" s="9" t="str">
        <f>RIGHT(Table22[[#This Row],[Output]],LEN(Table22[[#This Row],[Output]])-FIND("=",Table22[[#This Row],[Output]])-1)</f>
        <v>2208</v>
      </c>
      <c r="K48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SETTING PRESSURE 1ST SHEAR (PSI) CHANGED TO "2208"</v>
      </c>
      <c r="L48" t="str">
        <f>IF(CLEAN(Table22[[#This Row],[Ref. Value]])=CLEAN(Table22[[#This Row],[Overwrite Value]]),"OK","NG")</f>
        <v>OK</v>
      </c>
    </row>
    <row r="49" spans="1:12" ht="16" thickTop="1" thickBot="1">
      <c r="A49" s="7" t="s">
        <v>109</v>
      </c>
      <c r="B49" s="2" t="str">
        <f>SUBSTITUTE(SUBSTITUTE(SUBSTITUTE(Table22[[#This Row],[Standard Attributes List]]," ",""),".",""),"-","")</f>
        <v>SETTINGPRESSURESLIPENGAGEMENT(PSI)</v>
      </c>
      <c r="C49" s="3" t="s">
        <v>285</v>
      </c>
      <c r="D49" s="3" t="str">
        <f>SUBSTITUTE(SUBSTITUTE(SUBSTITUTE(LEFT(Table22[[#This Row],[Reference]],FIND("=",Table22[[#This Row],[Reference]])-2)," ",""),".",""),"-","")</f>
        <v>SETTINGPRESSURESLIPENGAGEMENT(PSI)</v>
      </c>
      <c r="E49" s="3" t="str">
        <f>TRIM(RIGHT(Table22[[#This Row],[Reference]],LEN(Table22[[#This Row],[Reference]])-FIND("=",Table22[[#This Row],[Reference]])-1))</f>
        <v>2208</v>
      </c>
      <c r="F49" s="3" t="str">
        <f>VLOOKUP(Table22[[#This Row],[Column1]],D:E,2,FALSE)</f>
        <v>2208</v>
      </c>
      <c r="G49" s="8">
        <v>2208</v>
      </c>
      <c r="H49" s="4" t="str">
        <f>CONCATENATE(Table22[[#This Row],[Standard Attributes List]]," = ",IF(Table22[[#This Row],[Overwrite Value]]="",Table22[[#This Row],[Ref. Value]],Table22[[#This Row],[Overwrite Value]]))</f>
        <v>SETTING PRESSURE SLIP ENGAGEMENT (PSI) = 2208</v>
      </c>
      <c r="I49" t="str">
        <f>IF(Table22[[#This Row],[Reference]]=Table22[[#This Row],[Output]],"OK","NG")</f>
        <v>OK</v>
      </c>
      <c r="J49" s="9" t="str">
        <f>RIGHT(Table22[[#This Row],[Output]],LEN(Table22[[#This Row],[Output]])-FIND("=",Table22[[#This Row],[Output]])-1)</f>
        <v>2208</v>
      </c>
      <c r="K49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SETTING PRESSURE SLIP ENGAGEMENT (PSI) CHANGED TO "2208"</v>
      </c>
      <c r="L49" t="str">
        <f>IF(CLEAN(Table22[[#This Row],[Ref. Value]])=CLEAN(Table22[[#This Row],[Overwrite Value]]),"OK","NG")</f>
        <v>OK</v>
      </c>
    </row>
    <row r="50" spans="1:12" ht="16" thickTop="1" thickBot="1">
      <c r="A50" s="7" t="s">
        <v>13</v>
      </c>
      <c r="B50" s="2" t="str">
        <f>SUBSTITUTE(SUBSTITUTE(SUBSTITUTE(Table22[[#This Row],[Standard Attributes List]]," ",""),".",""),"-","")</f>
        <v>TENSILESTRENGTH(LBS)EOECATSPECIFIEDTEMP(F)</v>
      </c>
      <c r="C50" s="3" t="s">
        <v>145</v>
      </c>
      <c r="D50" s="3" t="str">
        <f>SUBSTITUTE(SUBSTITUTE(SUBSTITUTE(LEFT(Table22[[#This Row],[Reference]],FIND("=",Table22[[#This Row],[Reference]])-2)," ",""),".",""),"-","")</f>
        <v>TENSILESTRENGTH(LBS)EOECATSPECIFIEDTEMP(F)</v>
      </c>
      <c r="E50" s="3" t="str">
        <f>TRIM(RIGHT(Table22[[#This Row],[Reference]],LEN(Table22[[#This Row],[Reference]])-FIND("=",Table22[[#This Row],[Reference]])-1))</f>
        <v>600000[325]</v>
      </c>
      <c r="F50" s="3" t="str">
        <f>VLOOKUP(Table22[[#This Row],[Column1]],D:E,2,FALSE)</f>
        <v>600000[325]</v>
      </c>
      <c r="G50" s="8" t="s">
        <v>165</v>
      </c>
      <c r="H50" s="4" t="str">
        <f>CONCATENATE(Table22[[#This Row],[Standard Attributes List]]," = ",IF(Table22[[#This Row],[Overwrite Value]]="",Table22[[#This Row],[Ref. Value]],Table22[[#This Row],[Overwrite Value]]))</f>
        <v>TENSILE STRENGTH (LBS) - EOEC AT SPECIFIED TEMP (F) = 600000[325]</v>
      </c>
      <c r="I50" t="str">
        <f>IF(Table22[[#This Row],[Reference]]=Table22[[#This Row],[Output]],"OK","NG")</f>
        <v>OK</v>
      </c>
      <c r="J50" s="9" t="str">
        <f>RIGHT(Table22[[#This Row],[Output]],LEN(Table22[[#This Row],[Output]])-FIND("=",Table22[[#This Row],[Output]])-1)</f>
        <v>600000[325]</v>
      </c>
      <c r="K50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TENSILE STRENGTH (LBS) - EOEC AT SPECIFIED TEMP (F) CHANGED TO "600000[325]"</v>
      </c>
      <c r="L50" t="str">
        <f>IF(CLEAN(Table22[[#This Row],[Ref. Value]])=CLEAN(Table22[[#This Row],[Overwrite Value]]),"OK","NG")</f>
        <v>OK</v>
      </c>
    </row>
    <row r="51" spans="1:12" ht="16" thickTop="1" thickBot="1">
      <c r="A51" s="7" t="s">
        <v>44</v>
      </c>
      <c r="B51" s="15" t="str">
        <f>SUBSTITUTE(SUBSTITUTE(SUBSTITUTE(Table22[[#This Row],[Standard Attributes List]]," ",""),".",""),"-","")</f>
        <v>TORQUECAPACITYEOEC(FTLBS)</v>
      </c>
      <c r="C51" s="3" t="s">
        <v>146</v>
      </c>
      <c r="D51" s="16" t="str">
        <f>SUBSTITUTE(SUBSTITUTE(SUBSTITUTE(LEFT(Table22[[#This Row],[Reference]],FIND("=",Table22[[#This Row],[Reference]])-2)," ",""),".",""),"-","")</f>
        <v>TORQUECAPACITYEOEC(FTLBS)</v>
      </c>
      <c r="E51" s="16" t="str">
        <f>TRIM(RIGHT(Table22[[#This Row],[Reference]],LEN(Table22[[#This Row],[Reference]])-FIND("=",Table22[[#This Row],[Reference]])-1))</f>
        <v>10340</v>
      </c>
      <c r="F51" s="16" t="str">
        <f>VLOOKUP(Table22[[#This Row],[Column1]],D:E,2,FALSE)</f>
        <v>10340</v>
      </c>
      <c r="G51" s="8">
        <v>10340</v>
      </c>
      <c r="H51" s="14" t="str">
        <f>CONCATENATE(Table22[[#This Row],[Standard Attributes List]]," = ",IF(Table22[[#This Row],[Overwrite Value]]="",Table22[[#This Row],[Ref. Value]],Table22[[#This Row],[Overwrite Value]]))</f>
        <v>TORQUE CAPACITY - EOEC (FT-LBS) = 10340</v>
      </c>
      <c r="I51" s="17" t="str">
        <f>IF(Table22[[#This Row],[Reference]]=Table22[[#This Row],[Output]],"OK","NG")</f>
        <v>OK</v>
      </c>
      <c r="J51" s="15" t="str">
        <f>RIGHT(Table22[[#This Row],[Output]],LEN(Table22[[#This Row],[Output]])-FIND("=",Table22[[#This Row],[Output]])-1)</f>
        <v>10340</v>
      </c>
      <c r="K51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TORQUE CAPACITY - EOEC (FT-LBS) CHANGED TO "10340"</v>
      </c>
      <c r="L51" t="str">
        <f>IF(CLEAN(Table22[[#This Row],[Ref. Value]])=CLEAN(Table22[[#This Row],[Overwrite Value]]),"OK","NG")</f>
        <v>OK</v>
      </c>
    </row>
    <row r="52" spans="1:12" ht="16" thickTop="1" thickBot="1">
      <c r="A52" s="7" t="s">
        <v>14</v>
      </c>
      <c r="B52" s="15" t="str">
        <f>SUBSTITUTE(SUBSTITUTE(SUBSTITUTE(Table22[[#This Row],[Standard Attributes List]]," ",""),".",""),"-","")</f>
        <v>UPPERTHREADCONNECTINGSIZE(IN),WT(PPF),TYPE,CONFIG</v>
      </c>
      <c r="C52" s="3" t="s">
        <v>147</v>
      </c>
      <c r="D52" s="16" t="str">
        <f>SUBSTITUTE(SUBSTITUTE(SUBSTITUTE(LEFT(Table22[[#This Row],[Reference]],FIND("=",Table22[[#This Row],[Reference]])-2)," ",""),".",""),"-","")</f>
        <v>UPPERTHREADCONNECTINGSIZE(IN),WT(PPF),TYPE,CONFIG</v>
      </c>
      <c r="E52" s="16" t="str">
        <f>TRIM(RIGHT(Table22[[#This Row],[Reference]],LEN(Table22[[#This Row],[Reference]])-FIND("=",Table22[[#This Row],[Reference]])-1))</f>
        <v>7.000, 29, VAM TOP HC, BOX</v>
      </c>
      <c r="F52" s="16" t="str">
        <f>VLOOKUP(Table22[[#This Row],[Column1]],D:E,2,FALSE)</f>
        <v>7.000, 29, VAM TOP HC, BOX</v>
      </c>
      <c r="G52" s="8" t="s">
        <v>166</v>
      </c>
      <c r="H52" s="14" t="str">
        <f>CONCATENATE(Table22[[#This Row],[Standard Attributes List]]," = ",IF(Table22[[#This Row],[Overwrite Value]]="",Table22[[#This Row],[Ref. Value]],Table22[[#This Row],[Overwrite Value]]))</f>
        <v>UPPER THREAD CONNECTING - SIZE (IN), WT (PPF), TYPE, CONFIG = 7.000, 29, VAM TOP HC, BOX</v>
      </c>
      <c r="I52" s="17" t="str">
        <f>IF(Table22[[#This Row],[Reference]]=Table22[[#This Row],[Output]],"OK","NG")</f>
        <v>OK</v>
      </c>
      <c r="J52" s="15" t="str">
        <f>RIGHT(Table22[[#This Row],[Output]],LEN(Table22[[#This Row],[Output]])-FIND("=",Table22[[#This Row],[Output]])-1)</f>
        <v>7.000, 29, VAM TOP HC, BOX</v>
      </c>
      <c r="K5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UPPER THREAD CONNECTING - SIZE (IN), WT (PPF), TYPE, CONFIG CHANGED TO "7.000, 29, VAM TOP HC, BOX"</v>
      </c>
      <c r="L52" t="str">
        <f>IF(CLEAN(Table22[[#This Row],[Ref. Value]])=CLEAN(Table22[[#This Row],[Overwrite Value]]),"OK","NG")</f>
        <v>OK</v>
      </c>
    </row>
    <row r="53" spans="1:12" ht="16" thickTop="1" thickBot="1">
      <c r="A53" s="7"/>
      <c r="B53" s="15" t="str">
        <f>SUBSTITUTE(SUBSTITUTE(SUBSTITUTE(Table22[[#This Row],[Standard Attributes List]]," ",""),".",""),"-","")</f>
        <v/>
      </c>
      <c r="C53" s="3"/>
      <c r="D53" s="16" t="e">
        <f>SUBSTITUTE(SUBSTITUTE(SUBSTITUTE(LEFT(Table22[[#This Row],[Reference]],FIND("=",Table22[[#This Row],[Reference]])-2)," ",""),".",""),"-","")</f>
        <v>#VALUE!</v>
      </c>
      <c r="E53" s="16" t="e">
        <f>TRIM(RIGHT(Table22[[#This Row],[Reference]],LEN(Table22[[#This Row],[Reference]])-FIND("=",Table22[[#This Row],[Reference]])-1))</f>
        <v>#VALUE!</v>
      </c>
      <c r="F53" s="16" t="e">
        <f>VLOOKUP(Table22[[#This Row],[Column1]],D:E,2,FALSE)</f>
        <v>#N/A</v>
      </c>
      <c r="G53" s="8">
        <v>1172</v>
      </c>
      <c r="H53" s="14" t="str">
        <f>CONCATENATE(Table22[[#This Row],[Standard Attributes List]]," = ",IF(Table22[[#This Row],[Overwrite Value]]="",Table22[[#This Row],[Ref. Value]],Table22[[#This Row],[Overwrite Value]]))</f>
        <v xml:space="preserve"> = 1172</v>
      </c>
      <c r="I53" s="17" t="str">
        <f>IF(Table22[[#This Row],[Reference]]=Table22[[#This Row],[Output]],"OK","NG")</f>
        <v>NG</v>
      </c>
      <c r="J53" s="15" t="str">
        <f>RIGHT(Table22[[#This Row],[Output]],LEN(Table22[[#This Row],[Output]])-FIND("=",Table22[[#This Row],[Output]])-1)</f>
        <v>1172</v>
      </c>
      <c r="K5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" = 1172" ADDED</v>
      </c>
      <c r="L53" t="e">
        <f>IF(Table22[[#This Row],[Ref. Value]]=Table22[[#This Row],[Overwrite Value]],"OK","NG")</f>
        <v>#N/A</v>
      </c>
    </row>
    <row r="54" spans="1:12" ht="16" thickTop="1" thickBot="1">
      <c r="A54" s="7"/>
      <c r="B54" s="15" t="str">
        <f>SUBSTITUTE(SUBSTITUTE(SUBSTITUTE(Table22[[#This Row],[Standard Attributes List]]," ",""),".",""),"-","")</f>
        <v/>
      </c>
      <c r="C54" s="3"/>
      <c r="D54" s="16" t="e">
        <f>SUBSTITUTE(SUBSTITUTE(SUBSTITUTE(LEFT(Table22[[#This Row],[Reference]],FIND("=",Table22[[#This Row],[Reference]])-2)," ",""),".",""),"-","")</f>
        <v>#VALUE!</v>
      </c>
      <c r="E54" s="16" t="e">
        <f>TRIM(RIGHT(Table22[[#This Row],[Reference]],LEN(Table22[[#This Row],[Reference]])-FIND("=",Table22[[#This Row],[Reference]])-1))</f>
        <v>#VALUE!</v>
      </c>
      <c r="F54" s="16" t="e">
        <f>VLOOKUP(Table22[[#This Row],[Column1]],D:E,2,FALSE)</f>
        <v>#N/A</v>
      </c>
      <c r="G54" s="8">
        <v>60000</v>
      </c>
      <c r="H54" s="14" t="str">
        <f>CONCATENATE(Table22[[#This Row],[Standard Attributes List]]," = ",IF(Table22[[#This Row],[Overwrite Value]]="",Table22[[#This Row],[Ref. Value]],Table22[[#This Row],[Overwrite Value]]))</f>
        <v xml:space="preserve"> = 60000</v>
      </c>
      <c r="I54" s="17" t="str">
        <f>IF(Table22[[#This Row],[Reference]]=Table22[[#This Row],[Output]],"OK","NG")</f>
        <v>NG</v>
      </c>
      <c r="J54" s="15" t="str">
        <f>RIGHT(Table22[[#This Row],[Output]],LEN(Table22[[#This Row],[Output]])-FIND("=",Table22[[#This Row],[Output]])-1)</f>
        <v>60000</v>
      </c>
      <c r="K5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" = 60000" ADDED</v>
      </c>
      <c r="L54" t="e">
        <f>IF(Table22[[#This Row],[Ref. Value]]=Table22[[#This Row],[Overwrite Value]],"OK","NG")</f>
        <v>#N/A</v>
      </c>
    </row>
    <row r="55" spans="1:12" ht="16" thickTop="1" thickBot="1">
      <c r="A55" s="7"/>
      <c r="B55" s="15"/>
      <c r="C55" s="3"/>
      <c r="D55" s="16"/>
      <c r="E55" s="16"/>
      <c r="F55" s="16"/>
      <c r="G55" s="8"/>
      <c r="H55" s="14"/>
      <c r="I55" s="17"/>
      <c r="J55" s="15"/>
      <c r="K55" s="2"/>
    </row>
    <row r="56" spans="1:12" ht="16" thickTop="1" thickBot="1">
      <c r="A56" s="7"/>
      <c r="B56" s="15"/>
      <c r="C56" s="3"/>
      <c r="D56" s="16"/>
      <c r="E56" s="16"/>
      <c r="F56" s="16"/>
      <c r="G56" s="8"/>
      <c r="H56" s="14"/>
      <c r="I56" s="17"/>
      <c r="J56" s="15"/>
      <c r="K56" s="2"/>
    </row>
    <row r="57" spans="1:12" ht="16" thickTop="1" thickBot="1">
      <c r="A57" s="7"/>
      <c r="B57" s="15"/>
      <c r="C57" s="3"/>
      <c r="D57" s="16"/>
      <c r="E57" s="16"/>
      <c r="F57" s="16"/>
      <c r="G57" s="8"/>
      <c r="H57" s="14"/>
      <c r="I57" s="17"/>
      <c r="J57" s="15"/>
      <c r="K57" s="2"/>
    </row>
    <row r="58" spans="1:12" ht="16" thickTop="1" thickBot="1">
      <c r="A58" s="7"/>
      <c r="B58" s="15"/>
      <c r="C58" s="3"/>
      <c r="D58" s="16"/>
      <c r="E58" s="16"/>
      <c r="F58" s="16"/>
      <c r="G58" s="8"/>
      <c r="H58" s="14"/>
      <c r="I58" s="17"/>
      <c r="J58" s="15"/>
      <c r="K58" s="2"/>
    </row>
    <row r="59" spans="1:12" ht="16" thickTop="1" thickBot="1">
      <c r="A59" s="7"/>
      <c r="B59" s="15"/>
      <c r="C59" s="3"/>
      <c r="D59" s="16"/>
      <c r="E59" s="16"/>
      <c r="F59" s="16"/>
      <c r="G59" s="8"/>
      <c r="H59" s="14"/>
      <c r="I59" s="17"/>
      <c r="J59" s="15"/>
      <c r="K59" s="2"/>
    </row>
    <row r="60" spans="1:12" ht="16" thickTop="1" thickBot="1">
      <c r="A60" s="7"/>
      <c r="B60" s="15"/>
      <c r="C60" s="3"/>
      <c r="D60" s="16"/>
      <c r="E60" s="16"/>
      <c r="F60" s="16"/>
      <c r="G60" s="8"/>
      <c r="H60" s="14"/>
      <c r="I60" s="17"/>
      <c r="J60" s="15"/>
      <c r="K60" s="2"/>
    </row>
    <row r="61" spans="1:12" ht="15" thickTop="1"/>
  </sheetData>
  <phoneticPr fontId="27" type="noConversion"/>
  <conditionalFormatting sqref="H61:I70">
    <cfRule type="expression" dxfId="23" priority="3">
      <formula>ISERROR($H61)</formula>
    </cfRule>
  </conditionalFormatting>
  <conditionalFormatting sqref="L2:L60">
    <cfRule type="expression" dxfId="22" priority="2">
      <formula>$L2="OK"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52"/>
  <sheetViews>
    <sheetView zoomScale="70" zoomScaleNormal="70" workbookViewId="0">
      <selection activeCell="C19" sqref="C19"/>
    </sheetView>
  </sheetViews>
  <sheetFormatPr baseColWidth="10" defaultColWidth="8.83203125" defaultRowHeight="14"/>
  <cols>
    <col min="1" max="1" width="62.83203125" customWidth="1"/>
    <col min="2" max="2" width="58.1640625" hidden="1" customWidth="1"/>
    <col min="3" max="3" width="27" customWidth="1"/>
    <col min="4" max="4" width="86.33203125" hidden="1" customWidth="1"/>
    <col min="5" max="5" width="36.6640625" hidden="1" customWidth="1"/>
    <col min="6" max="6" width="32.1640625" customWidth="1"/>
    <col min="7" max="7" width="25.33203125" bestFit="1" customWidth="1"/>
    <col min="8" max="8" width="85.1640625" bestFit="1" customWidth="1"/>
    <col min="9" max="9" width="23" customWidth="1"/>
    <col min="10" max="10" width="26.5" bestFit="1" customWidth="1"/>
    <col min="14" max="14" width="11" customWidth="1"/>
  </cols>
  <sheetData>
    <row r="1" spans="1:11" ht="15" thickBot="1">
      <c r="A1" s="5" t="s">
        <v>34</v>
      </c>
      <c r="B1" s="1" t="s">
        <v>54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6" thickTop="1" thickBot="1">
      <c r="A2" s="7" t="s">
        <v>0</v>
      </c>
      <c r="B2" s="2" t="str">
        <f>SUBSTITUTE(SUBSTITUTE(SUBSTITUTE(Table24[[#This Row],[Standard Attributes List]]," ",""),".",""),"-","")</f>
        <v>ACTIVEFLOWWETTEDMATERIALYIELDSTRENGTH(KSI)</v>
      </c>
      <c r="C2" s="3" t="s">
        <v>178</v>
      </c>
      <c r="D2" s="3" t="str">
        <f>SUBSTITUTE(SUBSTITUTE(SUBSTITUTE(LEFT(Table24[[#This Row],[Reference]],FIND("=",Table24[[#This Row],[Reference]])-2)," ",""),".",""),"-","")</f>
        <v>ACTIVEFLOWWETTEDMATERIALYIELDSTRENGTH(KSI)</v>
      </c>
      <c r="E2" s="3" t="str">
        <f>TRIM(RIGHT(Table24[[#This Row],[Reference]],LEN(Table24[[#This Row],[Reference]])-FIND("=",Table24[[#This Row],[Reference]])-1))</f>
        <v>13CR[80], 17-4 PH[105]</v>
      </c>
      <c r="F2" s="3" t="str">
        <f>VLOOKUP(Table24[[#This Row],[Column1]],D:E,2,FALSE)</f>
        <v>13CR[80], 17-4 PH[105]</v>
      </c>
      <c r="G2" s="3" t="s">
        <v>179</v>
      </c>
      <c r="H2" s="4" t="str">
        <f>CONCATENATE(Table24[[#This Row],[Standard Attributes List]]," = ",IF(Table24[[#This Row],[Overwrite Value]]="",Table24[[#This Row],[Ref. Value]],Table24[[#This Row],[Overwrite Value]]))</f>
        <v>ACTIVE FLOW WETTED MATERIAL - YIELD STRENGTH (KSI) = 13CR[80], 17-4 PH[105]</v>
      </c>
      <c r="I2" t="str">
        <f>IF(Table24[[#This Row],[Reference]]=Table24[[#This Row],[Output]],"OK","NG")</f>
        <v>OK</v>
      </c>
      <c r="J2" s="2" t="str">
        <f>RIGHT(Table24[[#This Row],[Output]],LEN(Table24[[#This Row],[Output]])-FIND("=",Table24[[#This Row],[Output]])-1)</f>
        <v>13CR[80], 17-4 PH[105]</v>
      </c>
      <c r="K2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ACTIVE FLOW WETTED MATERIAL - YIELD STRENGTH (KSI) CHANGED TO "13CR[80], 17-4 PH[105]"</v>
      </c>
    </row>
    <row r="3" spans="1:11" ht="16" thickTop="1" thickBot="1">
      <c r="A3" s="7" t="s">
        <v>1</v>
      </c>
      <c r="B3" s="2" t="str">
        <f>SUBSTITUTE(SUBSTITUTE(SUBSTITUTE(Table24[[#This Row],[Standard Attributes List]]," ",""),".",""),"-","")</f>
        <v>APPROXIMATEWEIGHT(LBS)</v>
      </c>
      <c r="C3" s="3" t="s">
        <v>180</v>
      </c>
      <c r="D3" s="3" t="str">
        <f>SUBSTITUTE(SUBSTITUTE(SUBSTITUTE(LEFT(Table24[[#This Row],[Reference]],FIND("=",Table24[[#This Row],[Reference]])-2)," ",""),".",""),"-","")</f>
        <v>APPROXIMATEWEIGHT(LBS)</v>
      </c>
      <c r="E3" s="3" t="str">
        <f>TRIM(RIGHT(Table24[[#This Row],[Reference]],LEN(Table24[[#This Row],[Reference]])-FIND("=",Table24[[#This Row],[Reference]])-1))</f>
        <v>520</v>
      </c>
      <c r="F3" s="3" t="str">
        <f>VLOOKUP(Table24[[#This Row],[Column1]],D:E,2,FALSE)</f>
        <v>520</v>
      </c>
      <c r="G3" s="3"/>
      <c r="H3" s="4" t="str">
        <f>CONCATENATE(Table24[[#This Row],[Standard Attributes List]]," = ",IF(Table24[[#This Row],[Overwrite Value]]="",Table24[[#This Row],[Ref. Value]],Table24[[#This Row],[Overwrite Value]]))</f>
        <v>APPROXIMATE WEIGHT (LBS) = 520</v>
      </c>
      <c r="I3" t="str">
        <f>IF(Table24[[#This Row],[Reference]]=Table24[[#This Row],[Output]],"OK","NG")</f>
        <v>OK</v>
      </c>
      <c r="J3" s="2" t="str">
        <f>RIGHT(Table24[[#This Row],[Output]],LEN(Table24[[#This Row],[Output]])-FIND("=",Table24[[#This Row],[Output]])-1)</f>
        <v>520</v>
      </c>
      <c r="K3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4" spans="1:11" ht="16" thickTop="1" thickBot="1">
      <c r="A4" s="7" t="s">
        <v>181</v>
      </c>
      <c r="B4" s="2" t="str">
        <f>SUBSTITUTE(SUBSTITUTE(SUBSTITUTE(Table24[[#This Row],[Standard Attributes List]]," ",""),".",""),"-","")</f>
        <v>BOREID(IN)</v>
      </c>
      <c r="C4" s="3" t="s">
        <v>182</v>
      </c>
      <c r="D4" s="3" t="str">
        <f>SUBSTITUTE(SUBSTITUTE(SUBSTITUTE(LEFT(Table24[[#This Row],[Reference]],FIND("=",Table24[[#This Row],[Reference]])-2)," ",""),".",""),"-","")</f>
        <v>BOREID(IN)</v>
      </c>
      <c r="E4" s="3" t="str">
        <f>TRIM(RIGHT(Table24[[#This Row],[Reference]],LEN(Table24[[#This Row],[Reference]])-FIND("=",Table24[[#This Row],[Reference]])-1))</f>
        <v>6.000</v>
      </c>
      <c r="F4" s="3" t="str">
        <f>VLOOKUP(Table24[[#This Row],[Column1]],D:E,2,FALSE)</f>
        <v>6.000</v>
      </c>
      <c r="G4" s="3"/>
      <c r="H4" s="4" t="str">
        <f>CONCATENATE(Table24[[#This Row],[Standard Attributes List]]," = ",IF(Table24[[#This Row],[Overwrite Value]]="",Table24[[#This Row],[Ref. Value]],Table24[[#This Row],[Overwrite Value]]))</f>
        <v>BORE I.D. (IN) = 6.000</v>
      </c>
      <c r="I4" t="str">
        <f>IF(Table24[[#This Row],[Reference]]=Table24[[#This Row],[Output]],"OK","NG")</f>
        <v>OK</v>
      </c>
      <c r="J4" s="2" t="str">
        <f>RIGHT(Table24[[#This Row],[Output]],LEN(Table24[[#This Row],[Output]])-FIND("=",Table24[[#This Row],[Output]])-1)</f>
        <v>6.000</v>
      </c>
      <c r="K4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5" spans="1:11" ht="16" thickTop="1" thickBot="1">
      <c r="A5" s="7" t="s">
        <v>15</v>
      </c>
      <c r="B5" s="2" t="str">
        <f>SUBSTITUTE(SUBSTITUTE(SUBSTITUTE(Table24[[#This Row],[Standard Attributes List]]," ",""),".",""),"-","")</f>
        <v>CASINGSIZE(IN)</v>
      </c>
      <c r="C5" s="3" t="s">
        <v>183</v>
      </c>
      <c r="D5" s="3" t="str">
        <f>SUBSTITUTE(SUBSTITUTE(SUBSTITUTE(LEFT(Table24[[#This Row],[Reference]],FIND("=",Table24[[#This Row],[Reference]])-2)," ",""),".",""),"-","")</f>
        <v>CASINGSIZE(IN)</v>
      </c>
      <c r="E5" s="3" t="str">
        <f>TRIM(RIGHT(Table24[[#This Row],[Reference]],LEN(Table24[[#This Row],[Reference]])-FIND("=",Table24[[#This Row],[Reference]])-1))</f>
        <v>9-5/8</v>
      </c>
      <c r="F5" s="3" t="str">
        <f>VLOOKUP(Table24[[#This Row],[Column1]],D:E,2,FALSE)</f>
        <v>9-5/8</v>
      </c>
      <c r="G5" s="3"/>
      <c r="H5" s="4" t="str">
        <f>CONCATENATE(Table24[[#This Row],[Standard Attributes List]]," = ",IF(Table24[[#This Row],[Overwrite Value]]="",Table24[[#This Row],[Ref. Value]],Table24[[#This Row],[Overwrite Value]]))</f>
        <v>CASING SIZE (IN) = 9-5/8</v>
      </c>
      <c r="I5" t="str">
        <f>IF(Table24[[#This Row],[Reference]]=Table24[[#This Row],[Output]],"OK","NG")</f>
        <v>OK</v>
      </c>
      <c r="J5" s="2" t="str">
        <f>RIGHT(Table24[[#This Row],[Output]],LEN(Table24[[#This Row],[Output]])-FIND("=",Table24[[#This Row],[Output]])-1)</f>
        <v>9-5/8</v>
      </c>
      <c r="K5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6" spans="1:11" ht="16" thickTop="1" thickBot="1">
      <c r="A6" s="7" t="s">
        <v>16</v>
      </c>
      <c r="B6" s="2" t="str">
        <f>SUBSTITUTE(SUBSTITUTE(SUBSTITUTE(Table24[[#This Row],[Standard Attributes List]]," ",""),".",""),"-","")</f>
        <v>CASINGWEIGHTRANGE(PPF)</v>
      </c>
      <c r="C6" s="3" t="s">
        <v>184</v>
      </c>
      <c r="D6" s="3" t="str">
        <f>SUBSTITUTE(SUBSTITUTE(SUBSTITUTE(LEFT(Table24[[#This Row],[Reference]],FIND("=",Table24[[#This Row],[Reference]])-2)," ",""),".",""),"-","")</f>
        <v>CASINGWEIGHTRANGE(PPF)</v>
      </c>
      <c r="E6" s="3" t="str">
        <f>TRIM(RIGHT(Table24[[#This Row],[Reference]],LEN(Table24[[#This Row],[Reference]])-FIND("=",Table24[[#This Row],[Reference]])-1))</f>
        <v>47-53.5</v>
      </c>
      <c r="F6" s="3" t="str">
        <f>VLOOKUP(Table24[[#This Row],[Column1]],D:E,2,FALSE)</f>
        <v>47-53.5</v>
      </c>
      <c r="G6" s="3"/>
      <c r="H6" s="4" t="str">
        <f>CONCATENATE(Table24[[#This Row],[Standard Attributes List]]," = ",IF(Table24[[#This Row],[Overwrite Value]]="",Table24[[#This Row],[Ref. Value]],Table24[[#This Row],[Overwrite Value]]))</f>
        <v>CASING WEIGHT RANGE (PPF) = 47-53.5</v>
      </c>
      <c r="I6" t="str">
        <f>IF(Table24[[#This Row],[Reference]]=Table24[[#This Row],[Output]],"OK","NG")</f>
        <v>OK</v>
      </c>
      <c r="J6" s="2" t="str">
        <f>RIGHT(Table24[[#This Row],[Output]],LEN(Table24[[#This Row],[Output]])-FIND("=",Table24[[#This Row],[Output]])-1)</f>
        <v>47-53.5</v>
      </c>
      <c r="K6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7" spans="1:11" ht="16" thickTop="1" thickBot="1">
      <c r="A7" s="7" t="s">
        <v>17</v>
      </c>
      <c r="B7" s="2" t="str">
        <f>SUBSTITUTE(SUBSTITUTE(SUBSTITUTE(Table24[[#This Row],[Standard Attributes List]]," ",""),".",""),"-","")</f>
        <v>CERTIFICATIONSTATUS</v>
      </c>
      <c r="C7" s="3" t="s">
        <v>185</v>
      </c>
      <c r="D7" s="3" t="str">
        <f>SUBSTITUTE(SUBSTITUTE(SUBSTITUTE(LEFT(Table24[[#This Row],[Reference]],FIND("=",Table24[[#This Row],[Reference]])-2)," ",""),".",""),"-","")</f>
        <v>CERTIFICATIONSTATUS</v>
      </c>
      <c r="E7" s="3" t="str">
        <f>TRIM(RIGHT(Table24[[#This Row],[Reference]],LEN(Table24[[#This Row],[Reference]])-FIND("=",Table24[[#This Row],[Reference]])-1))</f>
        <v>NA</v>
      </c>
      <c r="F7" s="3" t="str">
        <f>VLOOKUP(Table24[[#This Row],[Column1]],D:E,2,FALSE)</f>
        <v>NA</v>
      </c>
      <c r="G7" s="3" t="s">
        <v>186</v>
      </c>
      <c r="H7" s="4" t="str">
        <f>CONCATENATE(Table24[[#This Row],[Standard Attributes List]]," = ",IF(Table24[[#This Row],[Overwrite Value]]="",Table24[[#This Row],[Ref. Value]],Table24[[#This Row],[Overwrite Value]]))</f>
        <v>CERTIFICATION STATUS = NA</v>
      </c>
      <c r="I7" t="str">
        <f>IF(Table24[[#This Row],[Reference]]=Table24[[#This Row],[Output]],"OK","NG")</f>
        <v>OK</v>
      </c>
      <c r="J7" s="2" t="str">
        <f>RIGHT(Table24[[#This Row],[Output]],LEN(Table24[[#This Row],[Output]])-FIND("=",Table24[[#This Row],[Output]])-1)</f>
        <v>NA</v>
      </c>
      <c r="K7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CERTIFICATION STATUS CHANGED TO "NA"</v>
      </c>
    </row>
    <row r="8" spans="1:11" ht="16" thickTop="1" thickBot="1">
      <c r="A8" s="7" t="s">
        <v>36</v>
      </c>
      <c r="B8" s="2" t="str">
        <f>SUBSTITUTE(SUBSTITUTE(SUBSTITUTE(Table24[[#This Row],[Standard Attributes List]]," ",""),".",""),"-","")</f>
        <v>CONVEYANCEMETHOD</v>
      </c>
      <c r="C8" s="3" t="s">
        <v>187</v>
      </c>
      <c r="D8" s="3" t="str">
        <f>SUBSTITUTE(SUBSTITUTE(SUBSTITUTE(LEFT(Table24[[#This Row],[Reference]],FIND("=",Table24[[#This Row],[Reference]])-2)," ",""),".",""),"-","")</f>
        <v>CONVEYANCEMETHOD</v>
      </c>
      <c r="E8" s="3" t="str">
        <f>TRIM(RIGHT(Table24[[#This Row],[Reference]],LEN(Table24[[#This Row],[Reference]])-FIND("=",Table24[[#This Row],[Reference]])-1))</f>
        <v>SERVICE TOOL, WIRELINE</v>
      </c>
      <c r="F8" s="3" t="str">
        <f>VLOOKUP(Table24[[#This Row],[Column1]],D:E,2,FALSE)</f>
        <v>SERVICE TOOL, WIRELINE</v>
      </c>
      <c r="G8" s="3" t="s">
        <v>188</v>
      </c>
      <c r="H8" s="4" t="str">
        <f>CONCATENATE(Table24[[#This Row],[Standard Attributes List]]," = ",IF(Table24[[#This Row],[Overwrite Value]]="",Table24[[#This Row],[Ref. Value]],Table24[[#This Row],[Overwrite Value]]))</f>
        <v>CONVEYANCE METHOD = SERVICE TOOL, WIRELINE</v>
      </c>
      <c r="I8" t="str">
        <f>IF(Table24[[#This Row],[Reference]]=Table24[[#This Row],[Output]],"OK","NG")</f>
        <v>OK</v>
      </c>
      <c r="J8" s="2" t="str">
        <f>RIGHT(Table24[[#This Row],[Output]],LEN(Table24[[#This Row],[Output]])-FIND("=",Table24[[#This Row],[Output]])-1)</f>
        <v>SERVICE TOOL, WIRELINE</v>
      </c>
      <c r="K8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CONVEYANCE METHOD CHANGED TO "SERVICE TOOL, WIRELINE"</v>
      </c>
    </row>
    <row r="9" spans="1:11" ht="16" thickTop="1" thickBot="1">
      <c r="A9" s="7" t="s">
        <v>18</v>
      </c>
      <c r="B9" s="2" t="str">
        <f>SUBSTITUTE(SUBSTITUTE(SUBSTITUTE(Table24[[#This Row],[Standard Attributes List]]," ",""),".",""),"-","")</f>
        <v>DIFFERENTIALPRESSURERATING(PSI)</v>
      </c>
      <c r="C9" s="3" t="s">
        <v>189</v>
      </c>
      <c r="D9" s="3" t="str">
        <f>SUBSTITUTE(SUBSTITUTE(SUBSTITUTE(LEFT(Table24[[#This Row],[Reference]],FIND("=",Table24[[#This Row],[Reference]])-2)," ",""),".",""),"-","")</f>
        <v>DIFFERENTIALPRESSURERATING(PSI)</v>
      </c>
      <c r="E9" s="3" t="str">
        <f>TRIM(RIGHT(Table24[[#This Row],[Reference]],LEN(Table24[[#This Row],[Reference]])-FIND("=",Table24[[#This Row],[Reference]])-1))</f>
        <v>6000</v>
      </c>
      <c r="F9" s="3" t="str">
        <f>VLOOKUP(Table24[[#This Row],[Column1]],D:E,2,FALSE)</f>
        <v>6000</v>
      </c>
      <c r="G9" s="3"/>
      <c r="H9" s="4" t="str">
        <f>CONCATENATE(Table24[[#This Row],[Standard Attributes List]]," = ",IF(Table24[[#This Row],[Overwrite Value]]="",Table24[[#This Row],[Ref. Value]],Table24[[#This Row],[Overwrite Value]]))</f>
        <v>DIFFERENTIAL PRESSURE RATING (PSI) = 6000</v>
      </c>
      <c r="I9" t="str">
        <f>IF(Table24[[#This Row],[Reference]]=Table24[[#This Row],[Output]],"OK","NG")</f>
        <v>OK</v>
      </c>
      <c r="J9" s="2" t="str">
        <f>RIGHT(Table24[[#This Row],[Output]],LEN(Table24[[#This Row],[Output]])-FIND("=",Table24[[#This Row],[Output]])-1)</f>
        <v>6000</v>
      </c>
      <c r="K9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0" spans="1:11" ht="16" thickTop="1" thickBot="1">
      <c r="A10" s="7" t="s">
        <v>19</v>
      </c>
      <c r="B10" s="2" t="str">
        <f>SUBSTITUTE(SUBSTITUTE(SUBSTITUTE(Table24[[#This Row],[Standard Attributes List]]," ",""),".",""),"-","")</f>
        <v>DIFFERENTIALRATINGISOLATED(PSI)</v>
      </c>
      <c r="C10" s="3" t="s">
        <v>190</v>
      </c>
      <c r="D10" s="3" t="str">
        <f>SUBSTITUTE(SUBSTITUTE(SUBSTITUTE(LEFT(Table24[[#This Row],[Reference]],FIND("=",Table24[[#This Row],[Reference]])-2)," ",""),".",""),"-","")</f>
        <v>DIFFERENTIALRATINGISOLATED(PSI)</v>
      </c>
      <c r="E10" s="3" t="str">
        <f>TRIM(RIGHT(Table24[[#This Row],[Reference]],LEN(Table24[[#This Row],[Reference]])-FIND("=",Table24[[#This Row],[Reference]])-1))</f>
        <v>NA</v>
      </c>
      <c r="F10" s="3" t="str">
        <f>VLOOKUP(Table24[[#This Row],[Column1]],D:E,2,FALSE)</f>
        <v>NA</v>
      </c>
      <c r="G10" s="3"/>
      <c r="H10" s="4" t="str">
        <f>CONCATENATE(Table24[[#This Row],[Standard Attributes List]]," = ",IF(Table24[[#This Row],[Overwrite Value]]="",Table24[[#This Row],[Ref. Value]],Table24[[#This Row],[Overwrite Value]]))</f>
        <v>DIFFERENTIAL RATING ISOLATED (PSI) = NA</v>
      </c>
      <c r="I10" t="str">
        <f>IF(Table24[[#This Row],[Reference]]=Table24[[#This Row],[Output]],"OK","NG")</f>
        <v>OK</v>
      </c>
      <c r="J10" s="2" t="str">
        <f>RIGHT(Table24[[#This Row],[Output]],LEN(Table24[[#This Row],[Output]])-FIND("=",Table24[[#This Row],[Output]])-1)</f>
        <v>NA</v>
      </c>
      <c r="K10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1" spans="1:11" ht="16" thickTop="1" thickBot="1">
      <c r="A11" s="7" t="s">
        <v>20</v>
      </c>
      <c r="B11" s="2" t="str">
        <f>SUBSTITUTE(SUBSTITUTE(SUBSTITUTE(Table24[[#This Row],[Standard Attributes List]]," ",""),".",""),"-","")</f>
        <v>DIFFERENTIALRATINGPLUGGED(PSI)</v>
      </c>
      <c r="C11" s="3" t="s">
        <v>191</v>
      </c>
      <c r="D11" s="3" t="str">
        <f>SUBSTITUTE(SUBSTITUTE(SUBSTITUTE(LEFT(Table24[[#This Row],[Reference]],FIND("=",Table24[[#This Row],[Reference]])-2)," ",""),".",""),"-","")</f>
        <v>DIFFERENTIALRATINGPLUGGED(PSI)</v>
      </c>
      <c r="E11" s="3" t="str">
        <f>TRIM(RIGHT(Table24[[#This Row],[Reference]],LEN(Table24[[#This Row],[Reference]])-FIND("=",Table24[[#This Row],[Reference]])-1))</f>
        <v>NA</v>
      </c>
      <c r="F11" s="3" t="str">
        <f>VLOOKUP(Table24[[#This Row],[Column1]],D:E,2,FALSE)</f>
        <v>NA</v>
      </c>
      <c r="G11" s="6"/>
      <c r="H11" s="4" t="str">
        <f>CONCATENATE(Table24[[#This Row],[Standard Attributes List]]," = ",IF(Table24[[#This Row],[Overwrite Value]]="",Table24[[#This Row],[Ref. Value]],Table24[[#This Row],[Overwrite Value]]))</f>
        <v>DIFFERENTIAL RATING PLUGGED (PSI) = NA</v>
      </c>
      <c r="I11" t="str">
        <f>IF(Table24[[#This Row],[Reference]]=Table24[[#This Row],[Output]],"OK","NG")</f>
        <v>OK</v>
      </c>
      <c r="J11" s="2" t="str">
        <f>RIGHT(Table24[[#This Row],[Output]],LEN(Table24[[#This Row],[Output]])-FIND("=",Table24[[#This Row],[Output]])-1)</f>
        <v>NA</v>
      </c>
      <c r="K11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2" spans="1:11" ht="16" thickTop="1" thickBot="1">
      <c r="A12" s="7" t="s">
        <v>37</v>
      </c>
      <c r="B12" s="2" t="str">
        <f>SUBSTITUTE(SUBSTITUTE(SUBSTITUTE(Table24[[#This Row],[Standard Attributes List]]," ",""),".",""),"-","")</f>
        <v>DIFFERENTIALRATINGUNPLUGGED(PSI)</v>
      </c>
      <c r="C12" s="3" t="s">
        <v>192</v>
      </c>
      <c r="D12" s="3" t="str">
        <f>SUBSTITUTE(SUBSTITUTE(SUBSTITUTE(LEFT(Table24[[#This Row],[Reference]],FIND("=",Table24[[#This Row],[Reference]])-2)," ",""),".",""),"-","")</f>
        <v>DIFFERENTIALRATINGUNPLUGGED(PSI)</v>
      </c>
      <c r="E12" s="3" t="str">
        <f>TRIM(RIGHT(Table24[[#This Row],[Reference]],LEN(Table24[[#This Row],[Reference]])-FIND("=",Table24[[#This Row],[Reference]])-1))</f>
        <v>NA</v>
      </c>
      <c r="F12" s="3" t="str">
        <f>VLOOKUP(Table24[[#This Row],[Column1]],D:E,2,FALSE)</f>
        <v>NA</v>
      </c>
      <c r="G12" s="3"/>
      <c r="H12" s="4" t="str">
        <f>CONCATENATE(Table24[[#This Row],[Standard Attributes List]]," = ",IF(Table24[[#This Row],[Overwrite Value]]="",Table24[[#This Row],[Ref. Value]],Table24[[#This Row],[Overwrite Value]]))</f>
        <v>DIFFERENTIAL RATING UNPLUGGED (PSI) = NA</v>
      </c>
      <c r="I12" t="str">
        <f>IF(Table24[[#This Row],[Reference]]=Table24[[#This Row],[Output]],"OK","NG")</f>
        <v>OK</v>
      </c>
      <c r="J12" s="2" t="str">
        <f>RIGHT(Table24[[#This Row],[Output]],LEN(Table24[[#This Row],[Output]])-FIND("=",Table24[[#This Row],[Output]])-1)</f>
        <v>NA</v>
      </c>
      <c r="K12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3" spans="1:11" ht="16" thickTop="1" thickBot="1">
      <c r="A13" s="7" t="s">
        <v>2</v>
      </c>
      <c r="B13" s="2" t="str">
        <f>SUBSTITUTE(SUBSTITUTE(SUBSTITUTE(Table24[[#This Row],[Standard Attributes List]]," ",""),".",""),"-","")</f>
        <v>EXTERNALWORKINGPRESSURE(PSI)EOECATSPECIFIEDTEMP(F)</v>
      </c>
      <c r="C13" s="3" t="s">
        <v>193</v>
      </c>
      <c r="D13" s="3" t="str">
        <f>SUBSTITUTE(SUBSTITUTE(SUBSTITUTE(LEFT(Table24[[#This Row],[Reference]],FIND("=",Table24[[#This Row],[Reference]])-2)," ",""),".",""),"-","")</f>
        <v>EXTERNALWORKINGPRESSURE(PSI)EOECATSPECIFIEDTEMP(F)</v>
      </c>
      <c r="E13" s="3" t="str">
        <f>TRIM(RIGHT(Table24[[#This Row],[Reference]],LEN(Table24[[#This Row],[Reference]])-FIND("=",Table24[[#This Row],[Reference]])-1))</f>
        <v>NA</v>
      </c>
      <c r="F13" s="3" t="str">
        <f>VLOOKUP(Table24[[#This Row],[Column1]],D:E,2,FALSE)</f>
        <v>NA</v>
      </c>
      <c r="G13" s="3"/>
      <c r="H13" s="4" t="str">
        <f>CONCATENATE(Table24[[#This Row],[Standard Attributes List]]," = ",IF(Table24[[#This Row],[Overwrite Value]]="",Table24[[#This Row],[Ref. Value]],Table24[[#This Row],[Overwrite Value]]))</f>
        <v>EXTERNAL WORKING PRESSURE (PSI) - EOEC AT SPECIFIED TEMP (F) = NA</v>
      </c>
      <c r="I13" t="str">
        <f>IF(Table24[[#This Row],[Reference]]=Table24[[#This Row],[Output]],"OK","NG")</f>
        <v>OK</v>
      </c>
      <c r="J13" s="2" t="str">
        <f>RIGHT(Table24[[#This Row],[Output]],LEN(Table24[[#This Row],[Output]])-FIND("=",Table24[[#This Row],[Output]])-1)</f>
        <v>NA</v>
      </c>
      <c r="K13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4" spans="1:11" ht="16" thickTop="1" thickBot="1">
      <c r="A14" s="7" t="s">
        <v>50</v>
      </c>
      <c r="B14" s="2" t="str">
        <f>SUBSTITUTE(SUBSTITUTE(SUBSTITUTE(Table24[[#This Row],[Standard Attributes List]]," ",""),".",""),"-","")</f>
        <v>IDDRIFT(IN)</v>
      </c>
      <c r="C14" s="3" t="s">
        <v>194</v>
      </c>
      <c r="D14" s="3" t="str">
        <f>SUBSTITUTE(SUBSTITUTE(SUBSTITUTE(LEFT(Table24[[#This Row],[Reference]],FIND("=",Table24[[#This Row],[Reference]])-2)," ",""),".",""),"-","")</f>
        <v>IDDRIFT(IN)</v>
      </c>
      <c r="E14" s="3" t="str">
        <f>TRIM(RIGHT(Table24[[#This Row],[Reference]],LEN(Table24[[#This Row],[Reference]])-FIND("=",Table24[[#This Row],[Reference]])-1))</f>
        <v>5.995</v>
      </c>
      <c r="F14" s="3" t="str">
        <f>VLOOKUP(Table24[[#This Row],[Column1]],D:E,2,FALSE)</f>
        <v>5.995</v>
      </c>
      <c r="G14" s="3"/>
      <c r="H14" s="4" t="str">
        <f>CONCATENATE(Table24[[#This Row],[Standard Attributes List]]," = ",IF(Table24[[#This Row],[Overwrite Value]]="",Table24[[#This Row],[Ref. Value]],Table24[[#This Row],[Overwrite Value]]))</f>
        <v>I.D. - DRIFT (IN) = 5.995</v>
      </c>
      <c r="I14" t="str">
        <f>IF(Table24[[#This Row],[Reference]]=Table24[[#This Row],[Output]],"OK","NG")</f>
        <v>OK</v>
      </c>
      <c r="J14" s="2" t="str">
        <f>RIGHT(Table24[[#This Row],[Output]],LEN(Table24[[#This Row],[Output]])-FIND("=",Table24[[#This Row],[Output]])-1)</f>
        <v>5.995</v>
      </c>
      <c r="K14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5" spans="1:11" ht="16" thickTop="1" thickBot="1">
      <c r="A15" s="7" t="s">
        <v>51</v>
      </c>
      <c r="B15" s="2" t="str">
        <f>SUBSTITUTE(SUBSTITUTE(SUBSTITUTE(Table24[[#This Row],[Standard Attributes List]]," ",""),".",""),"-","")</f>
        <v>IDMIN(IN)</v>
      </c>
      <c r="C15" s="3" t="s">
        <v>195</v>
      </c>
      <c r="D15" s="3" t="str">
        <f>SUBSTITUTE(SUBSTITUTE(SUBSTITUTE(LEFT(Table24[[#This Row],[Reference]],FIND("=",Table24[[#This Row],[Reference]])-2)," ",""),".",""),"-","")</f>
        <v>IDMIN(IN)</v>
      </c>
      <c r="E15" s="3" t="str">
        <f>TRIM(RIGHT(Table24[[#This Row],[Reference]],LEN(Table24[[#This Row],[Reference]])-FIND("=",Table24[[#This Row],[Reference]])-1))</f>
        <v>6.000</v>
      </c>
      <c r="F15" s="3" t="str">
        <f>VLOOKUP(Table24[[#This Row],[Column1]],D:E,2,FALSE)</f>
        <v>6.000</v>
      </c>
      <c r="G15" s="8"/>
      <c r="H15" s="4" t="str">
        <f>CONCATENATE(Table24[[#This Row],[Standard Attributes List]]," = ",IF(Table24[[#This Row],[Overwrite Value]]="",Table24[[#This Row],[Ref. Value]],Table24[[#This Row],[Overwrite Value]]))</f>
        <v>I.D. - MIN. (IN) = 6.000</v>
      </c>
      <c r="I15" t="str">
        <f>IF(Table24[[#This Row],[Reference]]=Table24[[#This Row],[Output]],"OK","NG")</f>
        <v>OK</v>
      </c>
      <c r="J15" s="2" t="str">
        <f>RIGHT(Table24[[#This Row],[Output]],LEN(Table24[[#This Row],[Output]])-FIND("=",Table24[[#This Row],[Output]])-1)</f>
        <v>6.000</v>
      </c>
      <c r="K15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6" spans="1:11" ht="16" thickTop="1" thickBot="1">
      <c r="A16" s="7" t="s">
        <v>52</v>
      </c>
      <c r="B16" s="2" t="str">
        <f>SUBSTITUTE(SUBSTITUTE(SUBSTITUTE(Table24[[#This Row],[Standard Attributes List]]," ",""),".",""),"-","")</f>
        <v>ID(IN)</v>
      </c>
      <c r="C16" s="3" t="s">
        <v>196</v>
      </c>
      <c r="D16" s="3" t="str">
        <f>SUBSTITUTE(SUBSTITUTE(SUBSTITUTE(LEFT(Table24[[#This Row],[Reference]],FIND("=",Table24[[#This Row],[Reference]])-2)," ",""),".",""),"-","")</f>
        <v>ID(IN)</v>
      </c>
      <c r="E16" s="3" t="str">
        <f>TRIM(RIGHT(Table24[[#This Row],[Reference]],LEN(Table24[[#This Row],[Reference]])-FIND("=",Table24[[#This Row],[Reference]])-1))</f>
        <v>6.003</v>
      </c>
      <c r="F16" s="3" t="str">
        <f>VLOOKUP(Table24[[#This Row],[Column1]],D:E,2,FALSE)</f>
        <v>6.003</v>
      </c>
      <c r="G16" s="3"/>
      <c r="H16" s="4" t="str">
        <f>CONCATENATE(Table24[[#This Row],[Standard Attributes List]]," = ",IF(Table24[[#This Row],[Overwrite Value]]="",Table24[[#This Row],[Ref. Value]],Table24[[#This Row],[Overwrite Value]]))</f>
        <v>I.D. (IN) = 6.003</v>
      </c>
      <c r="I16" t="str">
        <f>IF(Table24[[#This Row],[Reference]]=Table24[[#This Row],[Output]],"OK","NG")</f>
        <v>OK</v>
      </c>
      <c r="J16" s="2" t="str">
        <f>RIGHT(Table24[[#This Row],[Output]],LEN(Table24[[#This Row],[Output]])-FIND("=",Table24[[#This Row],[Output]])-1)</f>
        <v>6.003</v>
      </c>
      <c r="K16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7" spans="1:11" ht="16" thickTop="1" thickBot="1">
      <c r="A17" s="7" t="s">
        <v>3</v>
      </c>
      <c r="B17" s="2" t="str">
        <f>SUBSTITUTE(SUBSTITUTE(SUBSTITUTE(Table24[[#This Row],[Standard Attributes List]]," ",""),".",""),"-","")</f>
        <v>INTERNALWORKINGPRESSURE(PSI)EOECATSPECIFIEDTEMP(F)</v>
      </c>
      <c r="C17" s="3" t="s">
        <v>197</v>
      </c>
      <c r="D17" s="3" t="str">
        <f>SUBSTITUTE(SUBSTITUTE(SUBSTITUTE(LEFT(Table24[[#This Row],[Reference]],FIND("=",Table24[[#This Row],[Reference]])-2)," ",""),".",""),"-","")</f>
        <v>INTERNALWORKINGPRESSURE(PSI)EOECATSPECIFIEDTEMP(F)</v>
      </c>
      <c r="E17" s="3" t="str">
        <f>TRIM(RIGHT(Table24[[#This Row],[Reference]],LEN(Table24[[#This Row],[Reference]])-FIND("=",Table24[[#This Row],[Reference]])-1))</f>
        <v>NA</v>
      </c>
      <c r="F17" s="3" t="str">
        <f>VLOOKUP(Table24[[#This Row],[Column1]],D:E,2,FALSE)</f>
        <v>NA</v>
      </c>
      <c r="G17" s="3"/>
      <c r="H17" s="4" t="str">
        <f>CONCATENATE(Table24[[#This Row],[Standard Attributes List]]," = ",IF(Table24[[#This Row],[Overwrite Value]]="",Table24[[#This Row],[Ref. Value]],Table24[[#This Row],[Overwrite Value]]))</f>
        <v>INTERNAL WORKING PRESSURE (PSI) - EOEC AT SPECIFIED TEMP (F) = NA</v>
      </c>
      <c r="I17" t="str">
        <f>IF(Table24[[#This Row],[Reference]]=Table24[[#This Row],[Output]],"OK","NG")</f>
        <v>OK</v>
      </c>
      <c r="J17" s="2" t="str">
        <f>RIGHT(Table24[[#This Row],[Output]],LEN(Table24[[#This Row],[Output]])-FIND("=",Table24[[#This Row],[Output]])-1)</f>
        <v>NA</v>
      </c>
      <c r="K17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8" spans="1:11" ht="16" thickTop="1" thickBot="1">
      <c r="A18" s="7" t="s">
        <v>59</v>
      </c>
      <c r="B18" s="2" t="str">
        <f>SUBSTITUTE(SUBSTITUTE(SUBSTITUTE(Table24[[#This Row],[Standard Attributes List]]," ",""),".",""),"-","")</f>
        <v>ISOQUALIFIEDCASINGID</v>
      </c>
      <c r="C18" s="3" t="s">
        <v>198</v>
      </c>
      <c r="D18" s="3" t="str">
        <f>SUBSTITUTE(SUBSTITUTE(SUBSTITUTE(LEFT(Table24[[#This Row],[Reference]],FIND("=",Table24[[#This Row],[Reference]])-2)," ",""),".",""),"-","")</f>
        <v>ISOQUALIFIEDCASINGID</v>
      </c>
      <c r="E18" s="3" t="str">
        <f>TRIM(RIGHT(Table24[[#This Row],[Reference]],LEN(Table24[[#This Row],[Reference]])-FIND("=",Table24[[#This Row],[Reference]])-1))</f>
        <v>NA</v>
      </c>
      <c r="F18" s="3" t="str">
        <f>VLOOKUP(Table24[[#This Row],[Column1]],D:E,2,FALSE)</f>
        <v>NA</v>
      </c>
      <c r="G18" s="3"/>
      <c r="H18" s="4" t="str">
        <f>CONCATENATE(Table24[[#This Row],[Standard Attributes List]]," = ",IF(Table24[[#This Row],[Overwrite Value]]="",Table24[[#This Row],[Ref. Value]],Table24[[#This Row],[Overwrite Value]]))</f>
        <v>ISO QUALIFIED CASING ID = NA</v>
      </c>
      <c r="I18" t="str">
        <f>IF(Table24[[#This Row],[Reference]]=Table24[[#This Row],[Output]],"OK","NG")</f>
        <v>OK</v>
      </c>
      <c r="J18" s="2" t="str">
        <f>RIGHT(Table24[[#This Row],[Output]],LEN(Table24[[#This Row],[Output]])-FIND("=",Table24[[#This Row],[Output]])-1)</f>
        <v>NA</v>
      </c>
      <c r="K18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9" spans="1:11" ht="16" thickTop="1" thickBot="1">
      <c r="A19" s="7" t="s">
        <v>4</v>
      </c>
      <c r="B19" s="2" t="str">
        <f>SUBSTITUTE(SUBSTITUTE(SUBSTITUTE(Table24[[#This Row],[Standard Attributes List]]," ",""),".",""),"-","")</f>
        <v>LOWERTHREADCONNECTINGSIZE(IN),WT(PPF),TYPE,CONFIG</v>
      </c>
      <c r="C19" s="3" t="s">
        <v>199</v>
      </c>
      <c r="D19" s="3" t="str">
        <f>SUBSTITUTE(SUBSTITUTE(SUBSTITUTE(LEFT(Table24[[#This Row],[Reference]],FIND("=",Table24[[#This Row],[Reference]])-2)," ",""),".",""),"-","")</f>
        <v>LOWERTHREADCONNECTINGSIZE(IN),WT(PPF),TYPE,CONFIG</v>
      </c>
      <c r="E19" s="3" t="str">
        <f>TRIM(RIGHT(Table24[[#This Row],[Reference]],LEN(Table24[[#This Row],[Reference]])-FIND("=",Table24[[#This Row],[Reference]])-1))</f>
        <v>7.000, 6, STUB ACME, PIN</v>
      </c>
      <c r="F19" s="3" t="str">
        <f>VLOOKUP(Table24[[#This Row],[Column1]],D:E,2,FALSE)</f>
        <v>7.000, 6, STUB ACME, PIN</v>
      </c>
      <c r="G19" s="3"/>
      <c r="H19" s="4" t="str">
        <f>CONCATENATE(Table24[[#This Row],[Standard Attributes List]]," = ",IF(Table24[[#This Row],[Overwrite Value]]="",Table24[[#This Row],[Ref. Value]],Table24[[#This Row],[Overwrite Value]]))</f>
        <v>LOWER THREAD CONNECTING - SIZE (IN), WT (PPF), TYPE, CONFIG = 7.000, 6, STUB ACME, PIN</v>
      </c>
      <c r="I19" t="str">
        <f>IF(Table24[[#This Row],[Reference]]=Table24[[#This Row],[Output]],"OK","NG")</f>
        <v>OK</v>
      </c>
      <c r="J19" s="2" t="str">
        <f>RIGHT(Table24[[#This Row],[Output]],LEN(Table24[[#This Row],[Output]])-FIND("=",Table24[[#This Row],[Output]])-1)</f>
        <v>7.000, 6, STUB ACME, PIN</v>
      </c>
      <c r="K19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0" spans="1:11" ht="16" thickTop="1" thickBot="1">
      <c r="A20" s="7" t="s">
        <v>53</v>
      </c>
      <c r="B20" s="2" t="str">
        <f>SUBSTITUTE(SUBSTITUTE(SUBSTITUTE(Table24[[#This Row],[Standard Attributes List]]," ",""),".",""),"-","")</f>
        <v>MAKEUPLENGTH(IN)</v>
      </c>
      <c r="C20" s="3" t="s">
        <v>200</v>
      </c>
      <c r="D20" s="3" t="str">
        <f>SUBSTITUTE(SUBSTITUTE(SUBSTITUTE(LEFT(Table24[[#This Row],[Reference]],FIND("=",Table24[[#This Row],[Reference]])-2)," ",""),".",""),"-","")</f>
        <v>MAKEUPLENGTH(IN)</v>
      </c>
      <c r="E20" s="3" t="str">
        <f>TRIM(RIGHT(Table24[[#This Row],[Reference]],LEN(Table24[[#This Row],[Reference]])-FIND("=",Table24[[#This Row],[Reference]])-1))</f>
        <v>57</v>
      </c>
      <c r="F20" s="3" t="str">
        <f>VLOOKUP(Table24[[#This Row],[Column1]],D:E,2,FALSE)</f>
        <v>57</v>
      </c>
      <c r="G20" s="3"/>
      <c r="H20" s="4" t="str">
        <f>CONCATENATE(Table24[[#This Row],[Standard Attributes List]]," = ",IF(Table24[[#This Row],[Overwrite Value]]="",Table24[[#This Row],[Ref. Value]],Table24[[#This Row],[Overwrite Value]]))</f>
        <v>MAKE-UP LENGTH (IN) = 57</v>
      </c>
      <c r="I20" t="str">
        <f>IF(Table24[[#This Row],[Reference]]=Table24[[#This Row],[Output]],"OK","NG")</f>
        <v>OK</v>
      </c>
      <c r="J20" s="2" t="str">
        <f>RIGHT(Table24[[#This Row],[Output]],LEN(Table24[[#This Row],[Output]])-FIND("=",Table24[[#This Row],[Output]])-1)</f>
        <v>57</v>
      </c>
      <c r="K20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1" spans="1:11" ht="16" thickTop="1" thickBot="1">
      <c r="A21" s="7" t="s">
        <v>5</v>
      </c>
      <c r="B21" s="2" t="str">
        <f>SUBSTITUTE(SUBSTITUTE(SUBSTITUTE(Table24[[#This Row],[Standard Attributes List]]," ",""),".",""),"-","")</f>
        <v>MATERIAL/ELASTOMERS</v>
      </c>
      <c r="C21" s="3" t="s">
        <v>201</v>
      </c>
      <c r="D21" s="3" t="str">
        <f>SUBSTITUTE(SUBSTITUTE(SUBSTITUTE(LEFT(Table24[[#This Row],[Reference]],FIND("=",Table24[[#This Row],[Reference]])-2)," ",""),".",""),"-","")</f>
        <v>MATERIAL/ELASTOMERS</v>
      </c>
      <c r="E21" s="3" t="str">
        <f>TRIM(RIGHT(Table24[[#This Row],[Reference]],LEN(Table24[[#This Row],[Reference]])-FIND("=",Table24[[#This Row],[Reference]])-1))</f>
        <v>HNBR, VITON</v>
      </c>
      <c r="F21" s="3" t="str">
        <f>VLOOKUP(Table24[[#This Row],[Column1]],D:E,2,FALSE)</f>
        <v>HNBR, VITON</v>
      </c>
      <c r="G21" s="6"/>
      <c r="H21" s="4" t="str">
        <f>CONCATENATE(Table24[[#This Row],[Standard Attributes List]]," = ",IF(Table24[[#This Row],[Overwrite Value]]="",Table24[[#This Row],[Ref. Value]],Table24[[#This Row],[Overwrite Value]]))</f>
        <v>MATERIAL/ELASTOMERS = HNBR, VITON</v>
      </c>
      <c r="I21" t="str">
        <f>IF(Table24[[#This Row],[Reference]]=Table24[[#This Row],[Output]],"OK","NG")</f>
        <v>OK</v>
      </c>
      <c r="J21" s="2" t="str">
        <f>RIGHT(Table24[[#This Row],[Output]],LEN(Table24[[#This Row],[Output]])-FIND("=",Table24[[#This Row],[Output]])-1)</f>
        <v>HNBR, VITON</v>
      </c>
      <c r="K21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2" spans="1:11" ht="16" thickTop="1" thickBot="1">
      <c r="A22" s="7" t="s">
        <v>21</v>
      </c>
      <c r="B22" s="2" t="str">
        <f>SUBSTITUTE(SUBSTITUTE(SUBSTITUTE(Table24[[#This Row],[Standard Attributes List]]," ",""),".",""),"-","")</f>
        <v>MATERIAL/ELEMENTS</v>
      </c>
      <c r="C22" s="3" t="s">
        <v>62</v>
      </c>
      <c r="D22" s="3" t="str">
        <f>SUBSTITUTE(SUBSTITUTE(SUBSTITUTE(LEFT(Table24[[#This Row],[Reference]],FIND("=",Table24[[#This Row],[Reference]])-2)," ",""),".",""),"-","")</f>
        <v>MATERIAL/ELEMENTS</v>
      </c>
      <c r="E22" s="3" t="str">
        <f>TRIM(RIGHT(Table24[[#This Row],[Reference]],LEN(Table24[[#This Row],[Reference]])-FIND("=",Table24[[#This Row],[Reference]])-1))</f>
        <v>HNBR</v>
      </c>
      <c r="F22" s="3" t="str">
        <f>VLOOKUP(Table24[[#This Row],[Column1]],D:E,2,FALSE)</f>
        <v>HNBR</v>
      </c>
      <c r="G22" s="3"/>
      <c r="H22" s="4" t="str">
        <f>CONCATENATE(Table24[[#This Row],[Standard Attributes List]]," = ",IF(Table24[[#This Row],[Overwrite Value]]="",Table24[[#This Row],[Ref. Value]],Table24[[#This Row],[Overwrite Value]]))</f>
        <v>MATERIAL/ELEMENTS = HNBR</v>
      </c>
      <c r="I22" t="str">
        <f>IF(Table24[[#This Row],[Reference]]=Table24[[#This Row],[Output]],"OK","NG")</f>
        <v>OK</v>
      </c>
      <c r="J22" s="2" t="str">
        <f>RIGHT(Table24[[#This Row],[Output]],LEN(Table24[[#This Row],[Output]])-FIND("=",Table24[[#This Row],[Output]])-1)</f>
        <v>HNBR</v>
      </c>
      <c r="K22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3" spans="1:11" ht="16" thickTop="1" thickBot="1">
      <c r="A23" s="7" t="s">
        <v>22</v>
      </c>
      <c r="B23" s="2" t="str">
        <f>SUBSTITUTE(SUBSTITUTE(SUBSTITUTE(Table24[[#This Row],[Standard Attributes List]]," ",""),".",""),"-","")</f>
        <v>MATERIAL/NONFLOWWETTED</v>
      </c>
      <c r="C23" s="3" t="s">
        <v>202</v>
      </c>
      <c r="D23" s="3" t="str">
        <f>SUBSTITUTE(SUBSTITUTE(SUBSTITUTE(LEFT(Table24[[#This Row],[Reference]],FIND("=",Table24[[#This Row],[Reference]])-2)," ",""),".",""),"-","")</f>
        <v>MATERIAL/NONFLOWWETTED</v>
      </c>
      <c r="E23" s="3" t="str">
        <f>TRIM(RIGHT(Table24[[#This Row],[Reference]],LEN(Table24[[#This Row],[Reference]])-FIND("=",Table24[[#This Row],[Reference]])-1))</f>
        <v>DUCTILE IRON, 41XX, 8620</v>
      </c>
      <c r="F23" s="3" t="str">
        <f>VLOOKUP(Table24[[#This Row],[Column1]],D:E,2,FALSE)</f>
        <v>DUCTILE IRON, 41XX, 8620</v>
      </c>
      <c r="G23" s="3"/>
      <c r="H23" s="4" t="str">
        <f>CONCATENATE(Table24[[#This Row],[Standard Attributes List]]," = ",IF(Table24[[#This Row],[Overwrite Value]]="",Table24[[#This Row],[Ref. Value]],Table24[[#This Row],[Overwrite Value]]))</f>
        <v>MATERIAL/NON FLOW WETTED = DUCTILE IRON, 41XX, 8620</v>
      </c>
      <c r="I23" t="str">
        <f>IF(Table24[[#This Row],[Reference]]=Table24[[#This Row],[Output]],"OK","NG")</f>
        <v>OK</v>
      </c>
      <c r="J23" s="2" t="str">
        <f>RIGHT(Table24[[#This Row],[Output]],LEN(Table24[[#This Row],[Output]])-FIND("=",Table24[[#This Row],[Output]])-1)</f>
        <v>DUCTILE IRON, 41XX, 8620</v>
      </c>
      <c r="K23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4" spans="1:11" ht="16" thickTop="1" thickBot="1">
      <c r="A24" s="7" t="s">
        <v>23</v>
      </c>
      <c r="B24" s="2" t="str">
        <f>SUBSTITUTE(SUBSTITUTE(SUBSTITUTE(Table24[[#This Row],[Standard Attributes List]]," ",""),".",""),"-","")</f>
        <v>MATERIAL/ORING(S)</v>
      </c>
      <c r="C24" s="3" t="s">
        <v>203</v>
      </c>
      <c r="D24" s="3" t="str">
        <f>SUBSTITUTE(SUBSTITUTE(SUBSTITUTE(LEFT(Table24[[#This Row],[Reference]],FIND("=",Table24[[#This Row],[Reference]])-2)," ",""),".",""),"-","")</f>
        <v>MATERIAL/ORING(S)</v>
      </c>
      <c r="E24" s="3" t="str">
        <f>TRIM(RIGHT(Table24[[#This Row],[Reference]],LEN(Table24[[#This Row],[Reference]])-FIND("=",Table24[[#This Row],[Reference]])-1))</f>
        <v>VITON</v>
      </c>
      <c r="F24" s="3" t="str">
        <f>VLOOKUP(Table24[[#This Row],[Column1]],D:E,2,FALSE)</f>
        <v>VITON</v>
      </c>
      <c r="G24" s="3"/>
      <c r="H24" s="4" t="str">
        <f>CONCATENATE(Table24[[#This Row],[Standard Attributes List]]," = ",IF(Table24[[#This Row],[Overwrite Value]]="",Table24[[#This Row],[Ref. Value]],Table24[[#This Row],[Overwrite Value]]))</f>
        <v>MATERIAL/O-RING(S) = VITON</v>
      </c>
      <c r="I24" t="str">
        <f>IF(Table24[[#This Row],[Reference]]=Table24[[#This Row],[Output]],"OK","NG")</f>
        <v>OK</v>
      </c>
      <c r="J24" s="2" t="str">
        <f>RIGHT(Table24[[#This Row],[Output]],LEN(Table24[[#This Row],[Output]])-FIND("=",Table24[[#This Row],[Output]])-1)</f>
        <v>VITON</v>
      </c>
      <c r="K24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5" spans="1:11" ht="16" thickTop="1" thickBot="1">
      <c r="A25" s="7" t="s">
        <v>38</v>
      </c>
      <c r="B25" s="2" t="str">
        <f>SUBSTITUTE(SUBSTITUTE(SUBSTITUTE(Table24[[#This Row],[Standard Attributes List]]," ",""),".",""),"-","")</f>
        <v>MAXCIRCULATIONRATEPASTPACKER(BPM)</v>
      </c>
      <c r="C25" s="3" t="s">
        <v>204</v>
      </c>
      <c r="D25" s="3" t="str">
        <f>SUBSTITUTE(SUBSTITUTE(SUBSTITUTE(LEFT(Table24[[#This Row],[Reference]],FIND("=",Table24[[#This Row],[Reference]])-2)," ",""),".",""),"-","")</f>
        <v>MAXCIRCULATIONRATEPASTPACKER(BPM)</v>
      </c>
      <c r="E25" s="3" t="str">
        <f>TRIM(RIGHT(Table24[[#This Row],[Reference]],LEN(Table24[[#This Row],[Reference]])-FIND("=",Table24[[#This Row],[Reference]])-1))</f>
        <v>NA</v>
      </c>
      <c r="F25" s="3" t="str">
        <f>VLOOKUP(Table24[[#This Row],[Column1]],D:E,2,FALSE)</f>
        <v>NA</v>
      </c>
      <c r="G25" s="3"/>
      <c r="H25" s="4" t="str">
        <f>CONCATENATE(Table24[[#This Row],[Standard Attributes List]]," = ",IF(Table24[[#This Row],[Overwrite Value]]="",Table24[[#This Row],[Ref. Value]],Table24[[#This Row],[Overwrite Value]]))</f>
        <v>MAX. CIRCULATION RATE PAST PACKER (BPM) = NA</v>
      </c>
      <c r="I25" t="str">
        <f>IF(Table24[[#This Row],[Reference]]=Table24[[#This Row],[Output]],"OK","NG")</f>
        <v>OK</v>
      </c>
      <c r="J25" s="2" t="str">
        <f>RIGHT(Table24[[#This Row],[Output]],LEN(Table24[[#This Row],[Output]])-FIND("=",Table24[[#This Row],[Output]])-1)</f>
        <v>NA</v>
      </c>
      <c r="K25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6" spans="1:11" ht="16" thickTop="1" thickBot="1">
      <c r="A26" s="7" t="s">
        <v>24</v>
      </c>
      <c r="B26" s="2" t="str">
        <f>SUBSTITUTE(SUBSTITUTE(SUBSTITUTE(Table24[[#This Row],[Standard Attributes List]]," ",""),".",""),"-","")</f>
        <v>MAXDELTAT(F)</v>
      </c>
      <c r="C26" s="3" t="s">
        <v>205</v>
      </c>
      <c r="D26" s="3" t="str">
        <f>SUBSTITUTE(SUBSTITUTE(SUBSTITUTE(LEFT(Table24[[#This Row],[Reference]],FIND("=",Table24[[#This Row],[Reference]])-2)," ",""),".",""),"-","")</f>
        <v>MAXDELTAT(F)</v>
      </c>
      <c r="E26" s="3" t="str">
        <f>TRIM(RIGHT(Table24[[#This Row],[Reference]],LEN(Table24[[#This Row],[Reference]])-FIND("=",Table24[[#This Row],[Reference]])-1))</f>
        <v>NA</v>
      </c>
      <c r="F26" s="3" t="str">
        <f>VLOOKUP(Table24[[#This Row],[Column1]],D:E,2,FALSE)</f>
        <v>NA</v>
      </c>
      <c r="G26" s="3"/>
      <c r="H26" s="4" t="str">
        <f>CONCATENATE(Table24[[#This Row],[Standard Attributes List]]," = ",IF(Table24[[#This Row],[Overwrite Value]]="",Table24[[#This Row],[Ref. Value]],Table24[[#This Row],[Overwrite Value]]))</f>
        <v>MAX. DELTA T (F) = NA</v>
      </c>
      <c r="I26" t="str">
        <f>IF(Table24[[#This Row],[Reference]]=Table24[[#This Row],[Output]],"OK","NG")</f>
        <v>OK</v>
      </c>
      <c r="J26" s="2" t="str">
        <f>RIGHT(Table24[[#This Row],[Output]],LEN(Table24[[#This Row],[Output]])-FIND("=",Table24[[#This Row],[Output]])-1)</f>
        <v>NA</v>
      </c>
      <c r="K26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7" spans="1:11" ht="16" thickTop="1" thickBot="1">
      <c r="A27" s="7" t="s">
        <v>39</v>
      </c>
      <c r="B27" s="2" t="str">
        <f>SUBSTITUTE(SUBSTITUTE(SUBSTITUTE(Table24[[#This Row],[Standard Attributes List]]," ",""),".",""),"-","")</f>
        <v>MAXRIHRATE(FPM)</v>
      </c>
      <c r="C27" s="3" t="s">
        <v>206</v>
      </c>
      <c r="D27" s="3" t="str">
        <f>SUBSTITUTE(SUBSTITUTE(SUBSTITUTE(LEFT(Table24[[#This Row],[Reference]],FIND("=",Table24[[#This Row],[Reference]])-2)," ",""),".",""),"-","")</f>
        <v>MAXRIHRATE(FPM)</v>
      </c>
      <c r="E27" s="3" t="str">
        <f>TRIM(RIGHT(Table24[[#This Row],[Reference]],LEN(Table24[[#This Row],[Reference]])-FIND("=",Table24[[#This Row],[Reference]])-1))</f>
        <v>100</v>
      </c>
      <c r="F27" s="3" t="str">
        <f>VLOOKUP(Table24[[#This Row],[Column1]],D:E,2,FALSE)</f>
        <v>100</v>
      </c>
      <c r="G27" s="3">
        <v>100</v>
      </c>
      <c r="H27" s="4" t="str">
        <f>CONCATENATE(Table24[[#This Row],[Standard Attributes List]]," = ",IF(Table24[[#This Row],[Overwrite Value]]="",Table24[[#This Row],[Ref. Value]],Table24[[#This Row],[Overwrite Value]]))</f>
        <v>MAX. RIH RATE (FPM) = 100</v>
      </c>
      <c r="I27" t="str">
        <f>IF(Table24[[#This Row],[Reference]]=Table24[[#This Row],[Output]],"OK","NG")</f>
        <v>OK</v>
      </c>
      <c r="J27" s="2" t="str">
        <f>RIGHT(Table24[[#This Row],[Output]],LEN(Table24[[#This Row],[Output]])-FIND("=",Table24[[#This Row],[Output]])-1)</f>
        <v>100</v>
      </c>
      <c r="K27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MAX. RIH RATE (FPM) CHANGED TO "100"</v>
      </c>
    </row>
    <row r="28" spans="1:11" ht="16" thickTop="1" thickBot="1">
      <c r="A28" s="7" t="s">
        <v>6</v>
      </c>
      <c r="B28" s="2" t="str">
        <f>SUBSTITUTE(SUBSTITUTE(SUBSTITUTE(Table24[[#This Row],[Standard Attributes List]]," ",""),".",""),"-","")</f>
        <v>MAXWORKINGTEMPERATURE(DEGF)</v>
      </c>
      <c r="C28" s="3" t="s">
        <v>63</v>
      </c>
      <c r="D28" s="3" t="str">
        <f>SUBSTITUTE(SUBSTITUTE(SUBSTITUTE(LEFT(Table24[[#This Row],[Reference]],FIND("=",Table24[[#This Row],[Reference]])-2)," ",""),".",""),"-","")</f>
        <v>MAXWORKINGTEMPERATURE(DEGF)</v>
      </c>
      <c r="E28" s="3" t="str">
        <f>TRIM(RIGHT(Table24[[#This Row],[Reference]],LEN(Table24[[#This Row],[Reference]])-FIND("=",Table24[[#This Row],[Reference]])-1))</f>
        <v>325</v>
      </c>
      <c r="F28" s="3" t="str">
        <f>VLOOKUP(Table24[[#This Row],[Column1]],D:E,2,FALSE)</f>
        <v>325</v>
      </c>
      <c r="G28" s="3"/>
      <c r="H28" s="4" t="str">
        <f>CONCATENATE(Table24[[#This Row],[Standard Attributes List]]," = ",IF(Table24[[#This Row],[Overwrite Value]]="",Table24[[#This Row],[Ref. Value]],Table24[[#This Row],[Overwrite Value]]))</f>
        <v>MAX. WORKING TEMPERATURE (DEG.F) = 325</v>
      </c>
      <c r="I28" t="str">
        <f>IF(Table24[[#This Row],[Reference]]=Table24[[#This Row],[Output]],"OK","NG")</f>
        <v>OK</v>
      </c>
      <c r="J28" s="2" t="str">
        <f>RIGHT(Table24[[#This Row],[Output]],LEN(Table24[[#This Row],[Output]])-FIND("=",Table24[[#This Row],[Output]])-1)</f>
        <v>325</v>
      </c>
      <c r="K28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9" spans="1:11" ht="16" thickTop="1" thickBot="1">
      <c r="A29" s="7" t="s">
        <v>7</v>
      </c>
      <c r="B29" s="2" t="str">
        <f>SUBSTITUTE(SUBSTITUTE(SUBSTITUTE(Table24[[#This Row],[Standard Attributes List]]," ",""),".",""),"-","")</f>
        <v>MINWORKINGTEMPERATURE(DEGF)</v>
      </c>
      <c r="C29" s="3" t="s">
        <v>207</v>
      </c>
      <c r="D29" s="3" t="str">
        <f>SUBSTITUTE(SUBSTITUTE(SUBSTITUTE(LEFT(Table24[[#This Row],[Reference]],FIND("=",Table24[[#This Row],[Reference]])-2)," ",""),".",""),"-","")</f>
        <v>MINWORKINGTEMPERATURE(DEGF)</v>
      </c>
      <c r="E29" s="3" t="str">
        <f>TRIM(RIGHT(Table24[[#This Row],[Reference]],LEN(Table24[[#This Row],[Reference]])-FIND("=",Table24[[#This Row],[Reference]])-1))</f>
        <v>100</v>
      </c>
      <c r="F29" s="3" t="str">
        <f>VLOOKUP(Table24[[#This Row],[Column1]],D:E,2,FALSE)</f>
        <v>100</v>
      </c>
      <c r="G29" s="3"/>
      <c r="H29" s="4" t="str">
        <f>CONCATENATE(Table24[[#This Row],[Standard Attributes List]]," = ",IF(Table24[[#This Row],[Overwrite Value]]="",Table24[[#This Row],[Ref. Value]],Table24[[#This Row],[Overwrite Value]]))</f>
        <v>MIN. WORKING TEMPERATURE (DEG.F) = 100</v>
      </c>
      <c r="I29" t="str">
        <f>IF(Table24[[#This Row],[Reference]]=Table24[[#This Row],[Output]],"OK","NG")</f>
        <v>OK</v>
      </c>
      <c r="J29" s="2" t="str">
        <f>RIGHT(Table24[[#This Row],[Output]],LEN(Table24[[#This Row],[Output]])-FIND("=",Table24[[#This Row],[Output]])-1)</f>
        <v>100</v>
      </c>
      <c r="K29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0" spans="1:11" ht="16" thickTop="1" thickBot="1">
      <c r="A30" s="7" t="s">
        <v>8</v>
      </c>
      <c r="B30" s="2" t="str">
        <f>SUBSTITUTE(SUBSTITUTE(SUBSTITUTE(Table24[[#This Row],[Standard Attributes List]]," ",""),".",""),"-","")</f>
        <v>ODMAX(IN)</v>
      </c>
      <c r="C30" s="3" t="s">
        <v>208</v>
      </c>
      <c r="D30" s="3" t="str">
        <f>SUBSTITUTE(SUBSTITUTE(SUBSTITUTE(LEFT(Table24[[#This Row],[Reference]],FIND("=",Table24[[#This Row],[Reference]])-2)," ",""),".",""),"-","")</f>
        <v>ODMAX(IN)</v>
      </c>
      <c r="E30" s="3" t="str">
        <f>TRIM(RIGHT(Table24[[#This Row],[Reference]],LEN(Table24[[#This Row],[Reference]])-FIND("=",Table24[[#This Row],[Reference]])-1))</f>
        <v>8.335</v>
      </c>
      <c r="F30" s="3" t="str">
        <f>VLOOKUP(Table24[[#This Row],[Column1]],D:E,2,FALSE)</f>
        <v>8.335</v>
      </c>
      <c r="G30" s="3"/>
      <c r="H30" s="4" t="str">
        <f>CONCATENATE(Table24[[#This Row],[Standard Attributes List]]," = ",IF(Table24[[#This Row],[Overwrite Value]]="",Table24[[#This Row],[Ref. Value]],Table24[[#This Row],[Overwrite Value]]))</f>
        <v>O.D. - MAX. (IN) = 8.335</v>
      </c>
      <c r="I30" t="str">
        <f>IF(Table24[[#This Row],[Reference]]=Table24[[#This Row],[Output]],"OK","NG")</f>
        <v>OK</v>
      </c>
      <c r="J30" s="2" t="str">
        <f>RIGHT(Table24[[#This Row],[Output]],LEN(Table24[[#This Row],[Output]])-FIND("=",Table24[[#This Row],[Output]])-1)</f>
        <v>8.335</v>
      </c>
      <c r="K30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1" spans="1:11" ht="16" thickTop="1" thickBot="1">
      <c r="A31" s="7" t="s">
        <v>9</v>
      </c>
      <c r="B31" s="2" t="str">
        <f>SUBSTITUTE(SUBSTITUTE(SUBSTITUTE(Table24[[#This Row],[Standard Attributes List]]," ",""),".",""),"-","")</f>
        <v>OD(IN)</v>
      </c>
      <c r="C31" s="3" t="s">
        <v>209</v>
      </c>
      <c r="D31" s="3" t="str">
        <f>SUBSTITUTE(SUBSTITUTE(SUBSTITUTE(LEFT(Table24[[#This Row],[Reference]],FIND("=",Table24[[#This Row],[Reference]])-2)," ",""),".",""),"-","")</f>
        <v>OD(IN)</v>
      </c>
      <c r="E31" s="3" t="str">
        <f>TRIM(RIGHT(Table24[[#This Row],[Reference]],LEN(Table24[[#This Row],[Reference]])-FIND("=",Table24[[#This Row],[Reference]])-1))</f>
        <v>8.330</v>
      </c>
      <c r="F31" s="3" t="str">
        <f>VLOOKUP(Table24[[#This Row],[Column1]],D:E,2,FALSE)</f>
        <v>8.330</v>
      </c>
      <c r="G31" s="3"/>
      <c r="H31" s="4" t="str">
        <f>CONCATENATE(Table24[[#This Row],[Standard Attributes List]]," = ",IF(Table24[[#This Row],[Overwrite Value]]="",Table24[[#This Row],[Ref. Value]],Table24[[#This Row],[Overwrite Value]]))</f>
        <v>O.D. (IN) = 8.330</v>
      </c>
      <c r="I31" t="str">
        <f>IF(Table24[[#This Row],[Reference]]=Table24[[#This Row],[Output]],"OK","NG")</f>
        <v>OK</v>
      </c>
      <c r="J31" s="2" t="str">
        <f>RIGHT(Table24[[#This Row],[Output]],LEN(Table24[[#This Row],[Output]])-FIND("=",Table24[[#This Row],[Output]])-1)</f>
        <v>8.330</v>
      </c>
      <c r="K31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2" spans="1:11" ht="16" thickTop="1" thickBot="1">
      <c r="A32" s="7" t="s">
        <v>40</v>
      </c>
      <c r="B32" s="2" t="str">
        <f>SUBSTITUTE(SUBSTITUTE(SUBSTITUTE(Table24[[#This Row],[Standard Attributes List]]," ",""),".",""),"-","")</f>
        <v>OPERATIONSMANUAL</v>
      </c>
      <c r="C32" s="3" t="s">
        <v>210</v>
      </c>
      <c r="D32" s="3" t="str">
        <f>SUBSTITUTE(SUBSTITUTE(SUBSTITUTE(LEFT(Table24[[#This Row],[Reference]],FIND("=",Table24[[#This Row],[Reference]])-2)," ",""),".",""),"-","")</f>
        <v>OPERATIONSMANUAL</v>
      </c>
      <c r="E32" s="3" t="str">
        <f>TRIM(RIGHT(Table24[[#This Row],[Reference]],LEN(Table24[[#This Row],[Reference]])-FIND("=",Table24[[#This Row],[Reference]])-1))</f>
        <v>IT# 3013940</v>
      </c>
      <c r="F32" s="3" t="str">
        <f>VLOOKUP(Table24[[#This Row],[Column1]],D:E,2,FALSE)</f>
        <v>IT# 3013940</v>
      </c>
      <c r="G32" s="3"/>
      <c r="H32" s="4" t="str">
        <f>CONCATENATE(Table24[[#This Row],[Standard Attributes List]]," = ",IF(Table24[[#This Row],[Overwrite Value]]="",Table24[[#This Row],[Ref. Value]],Table24[[#This Row],[Overwrite Value]]))</f>
        <v>OPERATIONS MANUAL = IT# 3013940</v>
      </c>
      <c r="I32" t="str">
        <f>IF(Table24[[#This Row],[Reference]]=Table24[[#This Row],[Output]],"OK","NG")</f>
        <v>OK</v>
      </c>
      <c r="J32" s="2" t="str">
        <f>RIGHT(Table24[[#This Row],[Output]],LEN(Table24[[#This Row],[Output]])-FIND("=",Table24[[#This Row],[Output]])-1)</f>
        <v>IT# 3013940</v>
      </c>
      <c r="K32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3" spans="1:14" ht="16" thickTop="1" thickBot="1">
      <c r="A33" s="7" t="s">
        <v>10</v>
      </c>
      <c r="B33" s="2" t="str">
        <f>SUBSTITUTE(SUBSTITUTE(SUBSTITUTE(Table24[[#This Row],[Standard Attributes List]]," ",""),".",""),"-","")</f>
        <v>OVERALLLENGTH(IN)</v>
      </c>
      <c r="C33" s="3" t="s">
        <v>211</v>
      </c>
      <c r="D33" s="3" t="str">
        <f>SUBSTITUTE(SUBSTITUTE(SUBSTITUTE(LEFT(Table24[[#This Row],[Reference]],FIND("=",Table24[[#This Row],[Reference]])-2)," ",""),".",""),"-","")</f>
        <v>OVERALLLENGTH(IN)</v>
      </c>
      <c r="E33" s="3" t="str">
        <f>TRIM(RIGHT(Table24[[#This Row],[Reference]],LEN(Table24[[#This Row],[Reference]])-FIND("=",Table24[[#This Row],[Reference]])-1))</f>
        <v>70</v>
      </c>
      <c r="F33" s="3" t="str">
        <f>VLOOKUP(Table24[[#This Row],[Column1]],D:E,2,FALSE)</f>
        <v>70</v>
      </c>
      <c r="G33" s="3"/>
      <c r="H33" s="4" t="str">
        <f>CONCATENATE(Table24[[#This Row],[Standard Attributes List]]," = ",IF(Table24[[#This Row],[Overwrite Value]]="",Table24[[#This Row],[Ref. Value]],Table24[[#This Row],[Overwrite Value]]))</f>
        <v>OVERALL LENGTH (IN) = 70</v>
      </c>
      <c r="I33" t="str">
        <f>IF(Table24[[#This Row],[Reference]]=Table24[[#This Row],[Output]],"OK","NG")</f>
        <v>OK</v>
      </c>
      <c r="J33" s="2" t="str">
        <f>RIGHT(Table24[[#This Row],[Output]],LEN(Table24[[#This Row],[Output]])-FIND("=",Table24[[#This Row],[Output]])-1)</f>
        <v>70</v>
      </c>
      <c r="K33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4" spans="1:14" ht="16" thickTop="1" thickBot="1">
      <c r="A34" s="7" t="s">
        <v>25</v>
      </c>
      <c r="B34" s="2" t="str">
        <f>SUBSTITUTE(SUBSTITUTE(SUBSTITUTE(Table24[[#This Row],[Standard Attributes List]]," ",""),".",""),"-","")</f>
        <v>PACKERENVELOPEPOINTSISOLATEDLOAD(LBS)</v>
      </c>
      <c r="C34" s="3" t="s">
        <v>212</v>
      </c>
      <c r="D34" s="3" t="str">
        <f>SUBSTITUTE(SUBSTITUTE(SUBSTITUTE(LEFT(Table24[[#This Row],[Reference]],FIND("=",Table24[[#This Row],[Reference]])-2)," ",""),".",""),"-","")</f>
        <v>PACKERENVELOPEPOINTSISOLATEDLOAD(LBS)</v>
      </c>
      <c r="E34" s="3" t="str">
        <f>TRIM(RIGHT(Table24[[#This Row],[Reference]],LEN(Table24[[#This Row],[Reference]])-FIND("=",Table24[[#This Row],[Reference]])-1))</f>
        <v>NA</v>
      </c>
      <c r="F34" s="3" t="str">
        <f>VLOOKUP(Table24[[#This Row],[Column1]],D:E,2,FALSE)</f>
        <v>NA</v>
      </c>
      <c r="G34" s="3"/>
      <c r="H34" s="4" t="str">
        <f>CONCATENATE(Table24[[#This Row],[Standard Attributes List]]," = ",IF(Table24[[#This Row],[Overwrite Value]]="",Table24[[#This Row],[Ref. Value]],Table24[[#This Row],[Overwrite Value]]))</f>
        <v>PACKER ENVELOPE POINTS ISOLATED - LOAD (LBS) = NA</v>
      </c>
      <c r="I34" t="str">
        <f>IF(Table24[[#This Row],[Reference]]=Table24[[#This Row],[Output]],"OK","NG")</f>
        <v>OK</v>
      </c>
      <c r="J34" s="2" t="str">
        <f>RIGHT(Table24[[#This Row],[Output]],LEN(Table24[[#This Row],[Output]])-FIND("=",Table24[[#This Row],[Output]])-1)</f>
        <v>NA</v>
      </c>
      <c r="K34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5" spans="1:14" ht="16" thickTop="1" thickBot="1">
      <c r="A35" s="7" t="s">
        <v>26</v>
      </c>
      <c r="B35" s="2" t="str">
        <f>SUBSTITUTE(SUBSTITUTE(SUBSTITUTE(Table24[[#This Row],[Standard Attributes List]]," ",""),".",""),"-","")</f>
        <v>PACKERENVELOPEPOINTSISOLATEDPRESSURE(PSI)</v>
      </c>
      <c r="C35" s="3" t="s">
        <v>213</v>
      </c>
      <c r="D35" s="3" t="str">
        <f>SUBSTITUTE(SUBSTITUTE(SUBSTITUTE(LEFT(Table24[[#This Row],[Reference]],FIND("=",Table24[[#This Row],[Reference]])-2)," ",""),".",""),"-","")</f>
        <v>PACKERENVELOPEPOINTSISOLATEDPRESSURE(PSI)</v>
      </c>
      <c r="E35" s="3" t="str">
        <f>TRIM(RIGHT(Table24[[#This Row],[Reference]],LEN(Table24[[#This Row],[Reference]])-FIND("=",Table24[[#This Row],[Reference]])-1))</f>
        <v>NA</v>
      </c>
      <c r="F35" s="3" t="str">
        <f>VLOOKUP(Table24[[#This Row],[Column1]],D:E,2,FALSE)</f>
        <v>NA</v>
      </c>
      <c r="G35" s="3"/>
      <c r="H35" s="4" t="str">
        <f>CONCATENATE(Table24[[#This Row],[Standard Attributes List]]," = ",IF(Table24[[#This Row],[Overwrite Value]]="",Table24[[#This Row],[Ref. Value]],Table24[[#This Row],[Overwrite Value]]))</f>
        <v>PACKER ENVELOPE POINTS ISOLATED - PRESSURE (PSI) = NA</v>
      </c>
      <c r="I35" t="str">
        <f>IF(Table24[[#This Row],[Reference]]=Table24[[#This Row],[Output]],"OK","NG")</f>
        <v>OK</v>
      </c>
      <c r="J35" s="2" t="str">
        <f>RIGHT(Table24[[#This Row],[Output]],LEN(Table24[[#This Row],[Output]])-FIND("=",Table24[[#This Row],[Output]])-1)</f>
        <v>NA</v>
      </c>
      <c r="K35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6" spans="1:14" ht="16" thickTop="1" thickBot="1">
      <c r="A36" s="7" t="s">
        <v>27</v>
      </c>
      <c r="B36" s="2" t="str">
        <f>SUBSTITUTE(SUBSTITUTE(SUBSTITUTE(Table24[[#This Row],[Standard Attributes List]]," ",""),".",""),"-","")</f>
        <v>PACKERENVELOPEPOINTSPLUGGEDBELOWLOAD(LBS)</v>
      </c>
      <c r="C36" s="3" t="s">
        <v>214</v>
      </c>
      <c r="D36" s="3" t="str">
        <f>SUBSTITUTE(SUBSTITUTE(SUBSTITUTE(LEFT(Table24[[#This Row],[Reference]],FIND("=",Table24[[#This Row],[Reference]])-2)," ",""),".",""),"-","")</f>
        <v>PACKERENVELOPEPOINTSPLUGGEDBELOWLOAD(LBS)</v>
      </c>
      <c r="E36" s="3" t="str">
        <f>TRIM(RIGHT(Table24[[#This Row],[Reference]],LEN(Table24[[#This Row],[Reference]])-FIND("=",Table24[[#This Row],[Reference]])-1))</f>
        <v>NA</v>
      </c>
      <c r="F36" s="3" t="str">
        <f>VLOOKUP(Table24[[#This Row],[Column1]],D:E,2,FALSE)</f>
        <v>NA</v>
      </c>
      <c r="G36" s="3"/>
      <c r="H36" s="4" t="str">
        <f>CONCATENATE(Table24[[#This Row],[Standard Attributes List]]," = ",IF(Table24[[#This Row],[Overwrite Value]]="",Table24[[#This Row],[Ref. Value]],Table24[[#This Row],[Overwrite Value]]))</f>
        <v>PACKER ENVELOPE POINTS PLUGGED - BELOW - LOAD (LBS) = NA</v>
      </c>
      <c r="I36" t="str">
        <f>IF(Table24[[#This Row],[Reference]]=Table24[[#This Row],[Output]],"OK","NG")</f>
        <v>OK</v>
      </c>
      <c r="J36" s="2" t="str">
        <f>RIGHT(Table24[[#This Row],[Output]],LEN(Table24[[#This Row],[Output]])-FIND("=",Table24[[#This Row],[Output]])-1)</f>
        <v>NA</v>
      </c>
      <c r="K36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7" spans="1:14" ht="16" thickTop="1" thickBot="1">
      <c r="A37" s="7" t="s">
        <v>28</v>
      </c>
      <c r="B37" s="2" t="str">
        <f>SUBSTITUTE(SUBSTITUTE(SUBSTITUTE(Table24[[#This Row],[Standard Attributes List]]," ",""),".",""),"-","")</f>
        <v>PACKERENVELOPEPOINTSPLUGGEDBELOWPRESSURE(PSI)</v>
      </c>
      <c r="C37" s="3" t="s">
        <v>215</v>
      </c>
      <c r="D37" s="3" t="str">
        <f>SUBSTITUTE(SUBSTITUTE(SUBSTITUTE(LEFT(Table24[[#This Row],[Reference]],FIND("=",Table24[[#This Row],[Reference]])-2)," ",""),".",""),"-","")</f>
        <v>PACKERENVELOPEPOINTSPLUGGEDBELOWPRESSURE(PSI)</v>
      </c>
      <c r="E37" s="3" t="str">
        <f>TRIM(RIGHT(Table24[[#This Row],[Reference]],LEN(Table24[[#This Row],[Reference]])-FIND("=",Table24[[#This Row],[Reference]])-1))</f>
        <v>NA</v>
      </c>
      <c r="F37" s="3" t="str">
        <f>VLOOKUP(Table24[[#This Row],[Column1]],D:E,2,FALSE)</f>
        <v>NA</v>
      </c>
      <c r="G37" s="3"/>
      <c r="H37" s="4" t="str">
        <f>CONCATENATE(Table24[[#This Row],[Standard Attributes List]]," = ",IF(Table24[[#This Row],[Overwrite Value]]="",Table24[[#This Row],[Ref. Value]],Table24[[#This Row],[Overwrite Value]]))</f>
        <v>PACKER ENVELOPE POINTS PLUGGED - BELOW - PRESSURE (PSI) = NA</v>
      </c>
      <c r="I37" t="str">
        <f>IF(Table24[[#This Row],[Reference]]=Table24[[#This Row],[Output]],"OK","NG")</f>
        <v>OK</v>
      </c>
      <c r="J37" s="2" t="str">
        <f>RIGHT(Table24[[#This Row],[Output]],LEN(Table24[[#This Row],[Output]])-FIND("=",Table24[[#This Row],[Output]])-1)</f>
        <v>NA</v>
      </c>
      <c r="K37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8" spans="1:14" ht="16" thickTop="1" thickBot="1">
      <c r="A38" s="7" t="s">
        <v>29</v>
      </c>
      <c r="B38" s="2" t="str">
        <f>SUBSTITUTE(SUBSTITUTE(SUBSTITUTE(Table24[[#This Row],[Standard Attributes List]]," ",""),".",""),"-","")</f>
        <v>PACKERENVELOPEPOINTSUNPLUGGEDLOAD(LBS)</v>
      </c>
      <c r="C38" s="3" t="s">
        <v>216</v>
      </c>
      <c r="D38" s="3" t="str">
        <f>SUBSTITUTE(SUBSTITUTE(SUBSTITUTE(LEFT(Table24[[#This Row],[Reference]],FIND("=",Table24[[#This Row],[Reference]])-2)," ",""),".",""),"-","")</f>
        <v>PACKERENVELOPEPOINTSUNPLUGGEDLOAD(LBS)</v>
      </c>
      <c r="E38" s="3" t="str">
        <f>TRIM(RIGHT(Table24[[#This Row],[Reference]],LEN(Table24[[#This Row],[Reference]])-FIND("=",Table24[[#This Row],[Reference]])-1))</f>
        <v>NA</v>
      </c>
      <c r="F38" s="3" t="str">
        <f>VLOOKUP(Table24[[#This Row],[Column1]],D:E,2,FALSE)</f>
        <v>NA</v>
      </c>
      <c r="G38" s="3"/>
      <c r="H38" s="4" t="str">
        <f>CONCATENATE(Table24[[#This Row],[Standard Attributes List]]," = ",IF(Table24[[#This Row],[Overwrite Value]]="",Table24[[#This Row],[Ref. Value]],Table24[[#This Row],[Overwrite Value]]))</f>
        <v>PACKER ENVELOPE POINTS UNPLUGGED - LOAD (LBS) = NA</v>
      </c>
      <c r="I38" t="str">
        <f>IF(Table24[[#This Row],[Reference]]=Table24[[#This Row],[Output]],"OK","NG")</f>
        <v>OK</v>
      </c>
      <c r="J38" s="2" t="str">
        <f>RIGHT(Table24[[#This Row],[Output]],LEN(Table24[[#This Row],[Output]])-FIND("=",Table24[[#This Row],[Output]])-1)</f>
        <v>NA</v>
      </c>
      <c r="K38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9" spans="1:14" ht="16" thickTop="1" thickBot="1">
      <c r="A39" s="7" t="s">
        <v>30</v>
      </c>
      <c r="B39" s="2" t="str">
        <f>SUBSTITUTE(SUBSTITUTE(SUBSTITUTE(Table24[[#This Row],[Standard Attributes List]]," ",""),".",""),"-","")</f>
        <v>PACKERENVELOPEPOINTSUNPLUGGEDPRESSURE(PSI)</v>
      </c>
      <c r="C39" s="3" t="s">
        <v>217</v>
      </c>
      <c r="D39" s="3" t="str">
        <f>SUBSTITUTE(SUBSTITUTE(SUBSTITUTE(LEFT(Table24[[#This Row],[Reference]],FIND("=",Table24[[#This Row],[Reference]])-2)," ",""),".",""),"-","")</f>
        <v>PACKERENVELOPEPOINTSUNPLUGGEDPRESSURE(PSI)</v>
      </c>
      <c r="E39" s="3" t="str">
        <f>TRIM(RIGHT(Table24[[#This Row],[Reference]],LEN(Table24[[#This Row],[Reference]])-FIND("=",Table24[[#This Row],[Reference]])-1))</f>
        <v>NA</v>
      </c>
      <c r="F39" s="3" t="str">
        <f>VLOOKUP(Table24[[#This Row],[Column1]],D:E,2,FALSE)</f>
        <v>NA</v>
      </c>
      <c r="G39" s="3"/>
      <c r="H39" s="4" t="str">
        <f>CONCATENATE(Table24[[#This Row],[Standard Attributes List]]," = ",IF(Table24[[#This Row],[Overwrite Value]]="",Table24[[#This Row],[Ref. Value]],Table24[[#This Row],[Overwrite Value]]))</f>
        <v>PACKER ENVELOPE POINTS UNPLUGGED - PRESSURE (PSI) = NA</v>
      </c>
      <c r="I39" t="str">
        <f>IF(Table24[[#This Row],[Reference]]=Table24[[#This Row],[Output]],"OK","NG")</f>
        <v>OK</v>
      </c>
      <c r="J39" s="2" t="str">
        <f>RIGHT(Table24[[#This Row],[Output]],LEN(Table24[[#This Row],[Output]])-FIND("=",Table24[[#This Row],[Output]])-1)</f>
        <v>NA</v>
      </c>
      <c r="K39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40" spans="1:14" ht="16" thickTop="1" thickBot="1">
      <c r="A40" s="7" t="s">
        <v>41</v>
      </c>
      <c r="B40" s="2" t="str">
        <f>SUBSTITUTE(SUBSTITUTE(SUBSTITUTE(Table24[[#This Row],[Standard Attributes List]]," ",""),".",""),"-","")</f>
        <v>QUALITYCONTROLGRADE</v>
      </c>
      <c r="C40" s="3" t="s">
        <v>60</v>
      </c>
      <c r="D40" s="3" t="str">
        <f>SUBSTITUTE(SUBSTITUTE(SUBSTITUTE(LEFT(Table24[[#This Row],[Reference]],FIND("=",Table24[[#This Row],[Reference]])-2)," ",""),".",""),"-","")</f>
        <v>QUALITYCONTROLGRADE</v>
      </c>
      <c r="E40" s="3" t="str">
        <f>TRIM(RIGHT(Table24[[#This Row],[Reference]],LEN(Table24[[#This Row],[Reference]])-FIND("=",Table24[[#This Row],[Reference]])-1))</f>
        <v>Q3</v>
      </c>
      <c r="F40" s="3" t="str">
        <f>VLOOKUP(Table24[[#This Row],[Column1]],D:E,2,FALSE)</f>
        <v>Q3</v>
      </c>
      <c r="G40" s="3" t="s">
        <v>57</v>
      </c>
      <c r="H40" s="4" t="str">
        <f>CONCATENATE(Table24[[#This Row],[Standard Attributes List]]," = ",IF(Table24[[#This Row],[Overwrite Value]]="",Table24[[#This Row],[Ref. Value]],Table24[[#This Row],[Overwrite Value]]))</f>
        <v>QUALITY CONTROL GRADE = Q3</v>
      </c>
      <c r="I40" t="str">
        <f>IF(Table24[[#This Row],[Reference]]=Table24[[#This Row],[Output]],"OK","NG")</f>
        <v>OK</v>
      </c>
      <c r="J40" s="2" t="str">
        <f>RIGHT(Table24[[#This Row],[Output]],LEN(Table24[[#This Row],[Output]])-FIND("=",Table24[[#This Row],[Output]])-1)</f>
        <v>Q3</v>
      </c>
      <c r="K40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QUALITY CONTROL GRADE CHANGED TO "Q3"</v>
      </c>
      <c r="M40" s="11"/>
      <c r="N40" s="11"/>
    </row>
    <row r="41" spans="1:14" ht="16" thickTop="1" thickBot="1">
      <c r="A41" s="7" t="s">
        <v>11</v>
      </c>
      <c r="B41" s="2" t="str">
        <f>SUBSTITUTE(SUBSTITUTE(SUBSTITUTE(Table24[[#This Row],[Standard Attributes List]]," ",""),".",""),"-","")</f>
        <v>QUALITYCONTROLPLANQCP</v>
      </c>
      <c r="C41" s="3" t="s">
        <v>55</v>
      </c>
      <c r="D41" s="3" t="str">
        <f>SUBSTITUTE(SUBSTITUTE(SUBSTITUTE(LEFT(Table24[[#This Row],[Reference]],FIND("=",Table24[[#This Row],[Reference]])-2)," ",""),".",""),"-","")</f>
        <v>QUALITYCONTROLPLANQCP</v>
      </c>
      <c r="E41" s="3" t="str">
        <f>TRIM(RIGHT(Table24[[#This Row],[Reference]],LEN(Table24[[#This Row],[Reference]])-FIND("=",Table24[[#This Row],[Reference]])-1))</f>
        <v>STD SLB</v>
      </c>
      <c r="F41" s="3" t="str">
        <f>VLOOKUP(Table24[[#This Row],[Column1]],D:E,2,FALSE)</f>
        <v>STD SLB</v>
      </c>
      <c r="G41" s="3"/>
      <c r="H41" s="4" t="str">
        <f>CONCATENATE(Table24[[#This Row],[Standard Attributes List]]," = ",IF(Table24[[#This Row],[Overwrite Value]]="",Table24[[#This Row],[Ref. Value]],Table24[[#This Row],[Overwrite Value]]))</f>
        <v>QUALITY CONTROL PLAN - QCP = STD SLB</v>
      </c>
      <c r="I41" t="str">
        <f>IF(Table24[[#This Row],[Reference]]=Table24[[#This Row],[Output]],"OK","NG")</f>
        <v>OK</v>
      </c>
      <c r="J41" s="2" t="str">
        <f>RIGHT(Table24[[#This Row],[Output]],LEN(Table24[[#This Row],[Output]])-FIND("=",Table24[[#This Row],[Output]])-1)</f>
        <v>STD SLB</v>
      </c>
      <c r="K41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1" s="11"/>
      <c r="N41" s="11"/>
    </row>
    <row r="42" spans="1:14" ht="16" thickTop="1" thickBot="1">
      <c r="A42" s="7" t="s">
        <v>42</v>
      </c>
      <c r="B42" s="2" t="str">
        <f>SUBSTITUTE(SUBSTITUTE(SUBSTITUTE(Table24[[#This Row],[Standard Attributes List]]," ",""),".",""),"-","")</f>
        <v>RETRIEVALMETHOD</v>
      </c>
      <c r="C42" s="3" t="s">
        <v>218</v>
      </c>
      <c r="D42" s="3" t="str">
        <f>SUBSTITUTE(SUBSTITUTE(SUBSTITUTE(LEFT(Table24[[#This Row],[Reference]],FIND("=",Table24[[#This Row],[Reference]])-2)," ",""),".",""),"-","")</f>
        <v>RETRIEVALMETHOD</v>
      </c>
      <c r="E42" s="3" t="str">
        <f>TRIM(RIGHT(Table24[[#This Row],[Reference]],LEN(Table24[[#This Row],[Reference]])-FIND("=",Table24[[#This Row],[Reference]])-1))</f>
        <v>SHIFT-TO-RELEASE</v>
      </c>
      <c r="F42" s="3" t="str">
        <f>VLOOKUP(Table24[[#This Row],[Column1]],D:E,2,FALSE)</f>
        <v>SHIFT-TO-RELEASE</v>
      </c>
      <c r="G42" s="3"/>
      <c r="H42" s="4" t="str">
        <f>CONCATENATE(Table24[[#This Row],[Standard Attributes List]]," = ",IF(Table24[[#This Row],[Overwrite Value]]="",Table24[[#This Row],[Ref. Value]],Table24[[#This Row],[Overwrite Value]]))</f>
        <v>RETRIEVAL METHOD = SHIFT-TO-RELEASE</v>
      </c>
      <c r="I42" t="str">
        <f>IF(Table24[[#This Row],[Reference]]=Table24[[#This Row],[Output]],"OK","NG")</f>
        <v>OK</v>
      </c>
      <c r="J42" s="2" t="str">
        <f>RIGHT(Table24[[#This Row],[Output]],LEN(Table24[[#This Row],[Output]])-FIND("=",Table24[[#This Row],[Output]])-1)</f>
        <v>SHIFT-TO-RELEASE</v>
      </c>
      <c r="K42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2" s="11"/>
      <c r="N42" s="11"/>
    </row>
    <row r="43" spans="1:14" ht="16" thickTop="1" thickBot="1">
      <c r="A43" s="7" t="s">
        <v>31</v>
      </c>
      <c r="B43" s="2" t="str">
        <f>SUBSTITUTE(SUBSTITUTE(SUBSTITUTE(Table24[[#This Row],[Standard Attributes List]]," ",""),".",""),"-","")</f>
        <v>SEALDIAMETER(IN)</v>
      </c>
      <c r="C43" s="3" t="s">
        <v>219</v>
      </c>
      <c r="D43" s="3" t="str">
        <f>SUBSTITUTE(SUBSTITUTE(SUBSTITUTE(LEFT(Table24[[#This Row],[Reference]],FIND("=",Table24[[#This Row],[Reference]])-2)," ",""),".",""),"-","")</f>
        <v>SEALDIAMETER(IN)</v>
      </c>
      <c r="E43" s="3" t="str">
        <f>TRIM(RIGHT(Table24[[#This Row],[Reference]],LEN(Table24[[#This Row],[Reference]])-FIND("=",Table24[[#This Row],[Reference]])-1))</f>
        <v>6.000</v>
      </c>
      <c r="F43" s="3" t="str">
        <f>VLOOKUP(Table24[[#This Row],[Column1]],D:E,2,FALSE)</f>
        <v>6.000</v>
      </c>
      <c r="G43" s="3"/>
      <c r="H43" s="4" t="str">
        <f>CONCATENATE(Table24[[#This Row],[Standard Attributes List]]," = ",IF(Table24[[#This Row],[Overwrite Value]]="",Table24[[#This Row],[Ref. Value]],Table24[[#This Row],[Overwrite Value]]))</f>
        <v>SEAL DIAMETER (IN) = 6.000</v>
      </c>
      <c r="I43" t="str">
        <f>IF(Table24[[#This Row],[Reference]]=Table24[[#This Row],[Output]],"OK","NG")</f>
        <v>OK</v>
      </c>
      <c r="J43" s="2" t="str">
        <f>RIGHT(Table24[[#This Row],[Output]],LEN(Table24[[#This Row],[Output]])-FIND("=",Table24[[#This Row],[Output]])-1)</f>
        <v>6.000</v>
      </c>
      <c r="K43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3" s="11"/>
      <c r="N43" s="11"/>
    </row>
    <row r="44" spans="1:14" ht="16" thickTop="1" thickBot="1">
      <c r="A44" s="7" t="s">
        <v>12</v>
      </c>
      <c r="B44" s="2" t="str">
        <f>SUBSTITUTE(SUBSTITUTE(SUBSTITUTE(Table24[[#This Row],[Standard Attributes List]]," ",""),".",""),"-","")</f>
        <v>SERVICENACE(YES/NO)</v>
      </c>
      <c r="C44" s="3" t="s">
        <v>49</v>
      </c>
      <c r="D44" s="3" t="str">
        <f>SUBSTITUTE(SUBSTITUTE(SUBSTITUTE(LEFT(Table24[[#This Row],[Reference]],FIND("=",Table24[[#This Row],[Reference]])-2)," ",""),".",""),"-","")</f>
        <v>SERVICENACE(YES/NO)</v>
      </c>
      <c r="E44" s="3" t="str">
        <f>TRIM(RIGHT(Table24[[#This Row],[Reference]],LEN(Table24[[#This Row],[Reference]])-FIND("=",Table24[[#This Row],[Reference]])-1))</f>
        <v>YES</v>
      </c>
      <c r="F44" s="3" t="str">
        <f>VLOOKUP(Table24[[#This Row],[Column1]],D:E,2,FALSE)</f>
        <v>YES</v>
      </c>
      <c r="G44" s="3"/>
      <c r="H44" s="4" t="str">
        <f>CONCATENATE(Table24[[#This Row],[Standard Attributes List]]," = ",IF(Table24[[#This Row],[Overwrite Value]]="",Table24[[#This Row],[Ref. Value]],Table24[[#This Row],[Overwrite Value]]))</f>
        <v>SERVICE NACE (YES/NO) = YES</v>
      </c>
      <c r="I44" t="str">
        <f>IF(Table24[[#This Row],[Reference]]=Table24[[#This Row],[Output]],"OK","NG")</f>
        <v>OK</v>
      </c>
      <c r="J44" s="2" t="str">
        <f>RIGHT(Table24[[#This Row],[Output]],LEN(Table24[[#This Row],[Output]])-FIND("=",Table24[[#This Row],[Output]])-1)</f>
        <v>YES</v>
      </c>
      <c r="K44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4" s="11"/>
      <c r="N44" s="11"/>
    </row>
    <row r="45" spans="1:14" ht="16" thickTop="1" thickBot="1">
      <c r="A45" s="7" t="s">
        <v>32</v>
      </c>
      <c r="B45" s="2" t="str">
        <f>SUBSTITUTE(SUBSTITUTE(SUBSTITUTE(Table24[[#This Row],[Standard Attributes List]]," ",""),".",""),"-","")</f>
        <v>SETTINGDIFFERENTIALPRESSURERECOMMENDED(MIN)(PSI)</v>
      </c>
      <c r="C45" s="3" t="s">
        <v>220</v>
      </c>
      <c r="D45" s="3" t="str">
        <f>SUBSTITUTE(SUBSTITUTE(SUBSTITUTE(LEFT(Table24[[#This Row],[Reference]],FIND("=",Table24[[#This Row],[Reference]])-2)," ",""),".",""),"-","")</f>
        <v>SETTINGDIFFERENTIALPRESSURERECOMMENDED(MIN)(PSI)</v>
      </c>
      <c r="E45" s="3" t="str">
        <f>TRIM(RIGHT(Table24[[#This Row],[Reference]],LEN(Table24[[#This Row],[Reference]])-FIND("=",Table24[[#This Row],[Reference]])-1))</f>
        <v>SETTING TOOL[33.35IN^2]:1600</v>
      </c>
      <c r="F45" s="3" t="str">
        <f>VLOOKUP(Table24[[#This Row],[Column1]],D:E,2,FALSE)</f>
        <v>SETTING TOOL[33.35IN^2]:1600</v>
      </c>
      <c r="G45" s="3"/>
      <c r="H45" s="4" t="str">
        <f>CONCATENATE(Table24[[#This Row],[Standard Attributes List]]," = ",IF(Table24[[#This Row],[Overwrite Value]]="",Table24[[#This Row],[Ref. Value]],Table24[[#This Row],[Overwrite Value]]))</f>
        <v>SETTING DIFFERENTIAL PRESSURE - RECOMMENDED (MIN)(PSI) = SETTING TOOL[33.35IN^2]:1600</v>
      </c>
      <c r="I45" t="str">
        <f>IF(Table24[[#This Row],[Reference]]=Table24[[#This Row],[Output]],"OK","NG")</f>
        <v>OK</v>
      </c>
      <c r="J45" s="2" t="str">
        <f>RIGHT(Table24[[#This Row],[Output]],LEN(Table24[[#This Row],[Output]])-FIND("=",Table24[[#This Row],[Output]])-1)</f>
        <v>SETTING TOOL[33.35IN^2]:1600</v>
      </c>
      <c r="K45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5" s="11"/>
      <c r="N45" s="11"/>
    </row>
    <row r="46" spans="1:14" ht="16" thickTop="1" thickBot="1">
      <c r="A46" s="7" t="s">
        <v>221</v>
      </c>
      <c r="B46" s="2" t="str">
        <f>SUBSTITUTE(SUBSTITUTE(SUBSTITUTE(Table24[[#This Row],[Standard Attributes List]]," ",""),".",""),"-","")</f>
        <v>SETTINGFORCE(LB)</v>
      </c>
      <c r="C46" s="3" t="s">
        <v>222</v>
      </c>
      <c r="D46" s="3" t="str">
        <f>SUBSTITUTE(SUBSTITUTE(SUBSTITUTE(LEFT(Table24[[#This Row],[Reference]],FIND("=",Table24[[#This Row],[Reference]])-2)," ",""),".",""),"-","")</f>
        <v>SETTINGFORCE(LB)</v>
      </c>
      <c r="E46" s="3" t="str">
        <f>TRIM(RIGHT(Table24[[#This Row],[Reference]],LEN(Table24[[#This Row],[Reference]])-FIND("=",Table24[[#This Row],[Reference]])-1))</f>
        <v>SETTING TOOL:55000+AXIAL:0</v>
      </c>
      <c r="F46" s="3" t="str">
        <f>VLOOKUP(Table24[[#This Row],[Column1]],D:E,2,FALSE)</f>
        <v>SETTING TOOL:55000+AXIAL:0</v>
      </c>
      <c r="G46" s="3" t="str">
        <f>IF(F22="AFLAS","SETTING TOOL:70000+AXIAL:0","SETTING TOOL:55000+AXIAL:0")</f>
        <v>SETTING TOOL:55000+AXIAL:0</v>
      </c>
      <c r="H46" s="4" t="str">
        <f>CONCATENATE(Table24[[#This Row],[Standard Attributes List]]," = ",IF(Table24[[#This Row],[Overwrite Value]]="",Table24[[#This Row],[Ref. Value]],Table24[[#This Row],[Overwrite Value]]))</f>
        <v>SETTING FORCE (LB) = SETTING TOOL:55000+AXIAL:0</v>
      </c>
      <c r="I46" t="str">
        <f>IF(Table24[[#This Row],[Reference]]=Table24[[#This Row],[Output]],"OK","NG")</f>
        <v>OK</v>
      </c>
      <c r="J46" s="2" t="str">
        <f>RIGHT(Table24[[#This Row],[Output]],LEN(Table24[[#This Row],[Output]])-FIND("=",Table24[[#This Row],[Output]])-1)</f>
        <v>SETTING TOOL:55000+AXIAL:0</v>
      </c>
      <c r="K46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SETTING FORCE (LB) CHANGED TO "SETTING TOOL:55000+AXIAL:0"</v>
      </c>
      <c r="M46" s="11"/>
      <c r="N46" s="11"/>
    </row>
    <row r="47" spans="1:14" ht="16" thickTop="1" thickBot="1">
      <c r="A47" s="7" t="s">
        <v>43</v>
      </c>
      <c r="B47" s="2" t="str">
        <f>SUBSTITUTE(SUBSTITUTE(SUBSTITUTE(Table24[[#This Row],[Standard Attributes List]]," ",""),".",""),"-","")</f>
        <v>SETTINGMETHOD</v>
      </c>
      <c r="C47" s="3" t="s">
        <v>223</v>
      </c>
      <c r="D47" s="3" t="str">
        <f>SUBSTITUTE(SUBSTITUTE(SUBSTITUTE(LEFT(Table24[[#This Row],[Reference]],FIND("=",Table24[[#This Row],[Reference]])-2)," ",""),".",""),"-","")</f>
        <v>SETTINGMETHOD</v>
      </c>
      <c r="E47" s="3" t="str">
        <f>TRIM(RIGHT(Table24[[#This Row],[Reference]],LEN(Table24[[#This Row],[Reference]])-FIND("=",Table24[[#This Row],[Reference]])-1))</f>
        <v>SERVICE TOOL</v>
      </c>
      <c r="F47" s="3" t="str">
        <f>VLOOKUP(Table24[[#This Row],[Column1]],D:E,2,FALSE)</f>
        <v>SERVICE TOOL</v>
      </c>
      <c r="G47" s="3"/>
      <c r="H47" s="4" t="str">
        <f>CONCATENATE(Table24[[#This Row],[Standard Attributes List]]," = ",IF(Table24[[#This Row],[Overwrite Value]]="",Table24[[#This Row],[Ref. Value]],Table24[[#This Row],[Overwrite Value]]))</f>
        <v>SETTING METHOD = SERVICE TOOL</v>
      </c>
      <c r="I47" t="str">
        <f>IF(Table24[[#This Row],[Reference]]=Table24[[#This Row],[Output]],"OK","NG")</f>
        <v>OK</v>
      </c>
      <c r="J47" s="2" t="str">
        <f>RIGHT(Table24[[#This Row],[Output]],LEN(Table24[[#This Row],[Output]])-FIND("=",Table24[[#This Row],[Output]])-1)</f>
        <v>SERVICE TOOL</v>
      </c>
      <c r="K47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7" s="11"/>
      <c r="N47" s="11"/>
    </row>
    <row r="48" spans="1:14" ht="16" thickTop="1" thickBot="1">
      <c r="A48" s="7" t="s">
        <v>224</v>
      </c>
      <c r="B48" s="2" t="str">
        <f>SUBSTITUTE(SUBSTITUTE(SUBSTITUTE(Table24[[#This Row],[Standard Attributes List]]," ",""),".",""),"-","")</f>
        <v>SHEARRELEASEFORCE(LB)</v>
      </c>
      <c r="C48" s="3" t="s">
        <v>225</v>
      </c>
      <c r="D48" s="3" t="str">
        <f>SUBSTITUTE(SUBSTITUTE(SUBSTITUTE(LEFT(Table24[[#This Row],[Reference]],FIND("=",Table24[[#This Row],[Reference]])-2)," ",""),".",""),"-","")</f>
        <v>SHEARRELEASEFORCE(LB)</v>
      </c>
      <c r="E48" s="3" t="str">
        <f>TRIM(RIGHT(Table24[[#This Row],[Reference]],LEN(Table24[[#This Row],[Reference]])-FIND("=",Table24[[#This Row],[Reference]])-1))</f>
        <v>14000</v>
      </c>
      <c r="F48" s="3" t="str">
        <f>VLOOKUP(Table24[[#This Row],[Column1]],D:E,2,FALSE)</f>
        <v>14000</v>
      </c>
      <c r="G48" s="3"/>
      <c r="H48" s="4" t="str">
        <f>CONCATENATE(Table24[[#This Row],[Standard Attributes List]]," = ",IF(Table24[[#This Row],[Overwrite Value]]="",Table24[[#This Row],[Ref. Value]],Table24[[#This Row],[Overwrite Value]]))</f>
        <v>SHEAR RELEASE FORCE (LB) = 14000</v>
      </c>
      <c r="I48" t="str">
        <f>IF(Table24[[#This Row],[Reference]]=Table24[[#This Row],[Output]],"OK","NG")</f>
        <v>OK</v>
      </c>
      <c r="J48" s="2" t="str">
        <f>RIGHT(Table24[[#This Row],[Output]],LEN(Table24[[#This Row],[Output]])-FIND("=",Table24[[#This Row],[Output]])-1)</f>
        <v>14000</v>
      </c>
      <c r="K48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49" spans="1:11" ht="16" thickTop="1" thickBot="1">
      <c r="A49" s="7" t="s">
        <v>13</v>
      </c>
      <c r="B49" s="2" t="str">
        <f>SUBSTITUTE(SUBSTITUTE(SUBSTITUTE(Table24[[#This Row],[Standard Attributes List]]," ",""),".",""),"-","")</f>
        <v>TENSILESTRENGTH(LBS)EOECATSPECIFIEDTEMP(F)</v>
      </c>
      <c r="C49" s="3" t="s">
        <v>176</v>
      </c>
      <c r="D49" s="3" t="str">
        <f>SUBSTITUTE(SUBSTITUTE(SUBSTITUTE(LEFT(Table24[[#This Row],[Reference]],FIND("=",Table24[[#This Row],[Reference]])-2)," ",""),".",""),"-","")</f>
        <v>TENSILESTRENGTH(LBS)EOECATSPECIFIEDTEMP(F)</v>
      </c>
      <c r="E49" s="3" t="str">
        <f>TRIM(RIGHT(Table24[[#This Row],[Reference]],LEN(Table24[[#This Row],[Reference]])-FIND("=",Table24[[#This Row],[Reference]])-1))</f>
        <v>200000[325]</v>
      </c>
      <c r="F49" s="3" t="str">
        <f>VLOOKUP(Table24[[#This Row],[Column1]],D:E,2,FALSE)</f>
        <v>200000[325]</v>
      </c>
      <c r="G49" s="3"/>
      <c r="H49" s="4" t="str">
        <f>CONCATENATE(Table24[[#This Row],[Standard Attributes List]]," = ",IF(Table24[[#This Row],[Overwrite Value]]="",Table24[[#This Row],[Ref. Value]],Table24[[#This Row],[Overwrite Value]]))</f>
        <v>TENSILE STRENGTH (LBS) - EOEC AT SPECIFIED TEMP (F) = 200000[325]</v>
      </c>
      <c r="I49" t="str">
        <f>IF(Table24[[#This Row],[Reference]]=Table24[[#This Row],[Output]],"OK","NG")</f>
        <v>OK</v>
      </c>
      <c r="J49" s="2" t="str">
        <f>RIGHT(Table24[[#This Row],[Output]],LEN(Table24[[#This Row],[Output]])-FIND("=",Table24[[#This Row],[Output]])-1)</f>
        <v>200000[325]</v>
      </c>
      <c r="K49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50" spans="1:11" ht="16" thickTop="1" thickBot="1">
      <c r="A50" s="7" t="s">
        <v>44</v>
      </c>
      <c r="B50" s="2" t="str">
        <f>SUBSTITUTE(SUBSTITUTE(SUBSTITUTE(Table24[[#This Row],[Standard Attributes List]]," ",""),".",""),"-","")</f>
        <v>TORQUECAPACITYEOEC(FTLBS)</v>
      </c>
      <c r="C50" s="3" t="s">
        <v>226</v>
      </c>
      <c r="D50" s="3" t="str">
        <f>SUBSTITUTE(SUBSTITUTE(SUBSTITUTE(LEFT(Table24[[#This Row],[Reference]],FIND("=",Table24[[#This Row],[Reference]])-2)," ",""),".",""),"-","")</f>
        <v>TORQUECAPACITYEOEC(FTLBS)</v>
      </c>
      <c r="E50" s="3" t="str">
        <f>TRIM(RIGHT(Table24[[#This Row],[Reference]],LEN(Table24[[#This Row],[Reference]])-FIND("=",Table24[[#This Row],[Reference]])-1))</f>
        <v>10000</v>
      </c>
      <c r="F50" s="3" t="str">
        <f>VLOOKUP(Table24[[#This Row],[Column1]],D:E,2,FALSE)</f>
        <v>10000</v>
      </c>
      <c r="G50" s="3"/>
      <c r="H50" s="4" t="str">
        <f>CONCATENATE(Table24[[#This Row],[Standard Attributes List]]," = ",IF(Table24[[#This Row],[Overwrite Value]]="",Table24[[#This Row],[Ref. Value]],Table24[[#This Row],[Overwrite Value]]))</f>
        <v>TORQUE CAPACITY - EOEC (FT-LBS) = 10000</v>
      </c>
      <c r="I50" t="str">
        <f>IF(Table24[[#This Row],[Reference]]=Table24[[#This Row],[Output]],"OK","NG")</f>
        <v>OK</v>
      </c>
      <c r="J50" s="2" t="str">
        <f>RIGHT(Table24[[#This Row],[Output]],LEN(Table24[[#This Row],[Output]])-FIND("=",Table24[[#This Row],[Output]])-1)</f>
        <v>10000</v>
      </c>
      <c r="K50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51" spans="1:11" ht="16" thickTop="1" thickBot="1">
      <c r="A51" s="7" t="s">
        <v>14</v>
      </c>
      <c r="B51" s="2" t="str">
        <f>SUBSTITUTE(SUBSTITUTE(SUBSTITUTE(Table24[[#This Row],[Standard Attributes List]]," ",""),".",""),"-","")</f>
        <v>UPPERTHREADCONNECTINGSIZE(IN),WT(PPF),TYPE,CONFIG</v>
      </c>
      <c r="C51" s="3" t="s">
        <v>227</v>
      </c>
      <c r="D51" s="3" t="str">
        <f>SUBSTITUTE(SUBSTITUTE(SUBSTITUTE(LEFT(Table24[[#This Row],[Reference]],FIND("=",Table24[[#This Row],[Reference]])-2)," ",""),".",""),"-","")</f>
        <v>UPPERTHREADCONNECTINGSIZE(IN),WT(PPF),TYPE,CONFIG</v>
      </c>
      <c r="E51" s="3" t="str">
        <f>TRIM(RIGHT(Table24[[#This Row],[Reference]],LEN(Table24[[#This Row],[Reference]])-FIND("=",Table24[[#This Row],[Reference]])-1))</f>
        <v>6.500, 4, LEFT HAND SQUARE, BOX</v>
      </c>
      <c r="F51" s="3" t="str">
        <f>VLOOKUP(Table24[[#This Row],[Column1]],D:E,2,FALSE)</f>
        <v>6.500, 4, LEFT HAND SQUARE, BOX</v>
      </c>
      <c r="G51" s="3"/>
      <c r="H51" s="4" t="str">
        <f>CONCATENATE(Table24[[#This Row],[Standard Attributes List]]," = ",IF(Table24[[#This Row],[Overwrite Value]]="",Table24[[#This Row],[Ref. Value]],Table24[[#This Row],[Overwrite Value]]))</f>
        <v>UPPER THREAD CONNECTING - SIZE (IN), WT (PPF), TYPE, CONFIG = 6.500, 4, LEFT HAND SQUARE, BOX</v>
      </c>
      <c r="I51" t="str">
        <f>IF(Table24[[#This Row],[Reference]]=Table24[[#This Row],[Output]],"OK","NG")</f>
        <v>OK</v>
      </c>
      <c r="J51" s="2" t="str">
        <f>RIGHT(Table24[[#This Row],[Output]],LEN(Table24[[#This Row],[Output]])-FIND("=",Table24[[#This Row],[Output]])-1)</f>
        <v>6.500, 4, LEFT HAND SQUARE, BOX</v>
      </c>
      <c r="K51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52" spans="1:11" ht="15" thickTop="1"/>
  </sheetData>
  <sheetProtection sheet="1" objects="1" scenarios="1"/>
  <phoneticPr fontId="27" type="noConversion"/>
  <conditionalFormatting sqref="H2">
    <cfRule type="expression" dxfId="21" priority="4">
      <formula>ISERROR($H2)</formula>
    </cfRule>
  </conditionalFormatting>
  <conditionalFormatting sqref="H52:I61 H3:H51">
    <cfRule type="expression" dxfId="20" priority="3">
      <formula>ISERROR($H3)</formula>
    </cfRule>
  </conditionalFormatting>
  <conditionalFormatting sqref="I2">
    <cfRule type="expression" dxfId="19" priority="2">
      <formula>$I2="OK"</formula>
    </cfRule>
  </conditionalFormatting>
  <conditionalFormatting sqref="I3:I51">
    <cfRule type="expression" dxfId="18" priority="1">
      <formula>$I3="OK"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N47"/>
  <sheetViews>
    <sheetView zoomScaleNormal="55" workbookViewId="0">
      <selection activeCell="B11" sqref="B11"/>
    </sheetView>
  </sheetViews>
  <sheetFormatPr baseColWidth="10" defaultColWidth="8.83203125" defaultRowHeight="14"/>
  <cols>
    <col min="1" max="1" width="73.6640625" customWidth="1"/>
    <col min="2" max="2" width="58.1640625" hidden="1" customWidth="1"/>
    <col min="3" max="3" width="42.5" customWidth="1"/>
    <col min="4" max="4" width="86.33203125" hidden="1" customWidth="1"/>
    <col min="5" max="5" width="36.6640625" hidden="1" customWidth="1"/>
    <col min="6" max="6" width="32.1640625" customWidth="1"/>
    <col min="7" max="7" width="25.33203125" bestFit="1" customWidth="1"/>
    <col min="8" max="8" width="85.1640625" bestFit="1" customWidth="1"/>
    <col min="9" max="9" width="23" customWidth="1"/>
    <col min="10" max="10" width="26.5" bestFit="1" customWidth="1"/>
    <col min="14" max="14" width="11" customWidth="1"/>
  </cols>
  <sheetData>
    <row r="1" spans="1:11" ht="15" thickBot="1">
      <c r="A1" s="5" t="s">
        <v>34</v>
      </c>
      <c r="B1" s="1" t="s">
        <v>54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6" thickTop="1" thickBot="1">
      <c r="A2" s="7" t="s">
        <v>0</v>
      </c>
      <c r="B2" s="2" t="str">
        <f>SUBSTITUTE(SUBSTITUTE(SUBSTITUTE(Table24810[Standard Attributes List]," ",""),".",""),"-","")</f>
        <v>ACTIVEFLOWWETTEDMATERIALYIELDSTRENGTH(KSI)</v>
      </c>
      <c r="C2" s="3" t="s">
        <v>482</v>
      </c>
      <c r="D2" s="3" t="str">
        <f>SUBSTITUTE(SUBSTITUTE(SUBSTITUTE(LEFT(Table24810[[#This Row],[Reference]],FIND("=",Table24810[[#This Row],[Reference]])-2)," ",""),".",""),"-","")</f>
        <v>ACTIVEFLOWWETTEDMATERIALYIELDSTRENGTH(KSI)</v>
      </c>
      <c r="E2" s="3" t="str">
        <f>TRIM(RIGHT(Table24810[[#This Row],[Reference]],LEN(Table24810[[#This Row],[Reference]])-FIND("=",Table24810[[#This Row],[Reference]])-1))</f>
        <v>41XX[80]</v>
      </c>
      <c r="F2" s="3" t="str">
        <f>VLOOKUP(Table24810[[#This Row],[Column1]],D:E,2,FALSE)</f>
        <v>41XX[80]</v>
      </c>
      <c r="G2" s="3"/>
      <c r="H2" s="4" t="str">
        <f>CONCATENATE(Table24810[[#This Row],[Standard Attributes List]]," = ",IF(Table24810[[#This Row],[Overwrite Value]]="",Table24810[[#This Row],[Ref. Value]],Table24810[[#This Row],[Overwrite Value]]))</f>
        <v>ACTIVE FLOW WETTED MATERIAL - YIELD STRENGTH (KSI) = 41XX[80]</v>
      </c>
      <c r="I2" t="str">
        <f>IF(Table24810[[#This Row],[Reference]]=Table24810[[#This Row],[Output]],"OK","NG")</f>
        <v>OK</v>
      </c>
      <c r="J2" s="2" t="str">
        <f>RIGHT(Table24810[[#This Row],[Output]],LEN(Table24810[[#This Row],[Output]])-FIND("=",Table24810[[#This Row],[Output]])-1)</f>
        <v>41XX[80]</v>
      </c>
      <c r="K2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" spans="1:11" ht="16" thickTop="1" thickBot="1">
      <c r="A3" s="7" t="s">
        <v>1</v>
      </c>
      <c r="B3" s="2" t="str">
        <f>SUBSTITUTE(SUBSTITUTE(SUBSTITUTE(Table24810[Standard Attributes List]," ",""),".",""),"-","")</f>
        <v>APPROXIMATEWEIGHT(LBS)</v>
      </c>
      <c r="C3" s="3" t="s">
        <v>531</v>
      </c>
      <c r="D3" s="3" t="str">
        <f>SUBSTITUTE(SUBSTITUTE(SUBSTITUTE(LEFT(Table24810[[#This Row],[Reference]],FIND("=",Table24810[[#This Row],[Reference]])-2)," ",""),".",""),"-","")</f>
        <v>APPROXIMATEWEIGHT(LBS)</v>
      </c>
      <c r="E3" s="3" t="str">
        <f>TRIM(RIGHT(Table24810[[#This Row],[Reference]],LEN(Table24810[[#This Row],[Reference]])-FIND("=",Table24810[[#This Row],[Reference]])-1))</f>
        <v>700</v>
      </c>
      <c r="F3" s="3" t="str">
        <f>VLOOKUP(Table24810[[#This Row],[Column1]],D:E,2,FALSE)</f>
        <v>700</v>
      </c>
      <c r="G3" s="3"/>
      <c r="H3" s="4" t="str">
        <f>CONCATENATE(Table24810[[#This Row],[Standard Attributes List]]," = ",IF(Table24810[[#This Row],[Overwrite Value]]="",Table24810[[#This Row],[Ref. Value]],Table24810[[#This Row],[Overwrite Value]]))</f>
        <v>APPROXIMATE WEIGHT (LBS) = 700</v>
      </c>
      <c r="I3" t="str">
        <f>IF(Table24810[[#This Row],[Reference]]=Table24810[[#This Row],[Output]],"OK","NG")</f>
        <v>OK</v>
      </c>
      <c r="J3" s="2" t="str">
        <f>RIGHT(Table24810[[#This Row],[Output]],LEN(Table24810[[#This Row],[Output]])-FIND("=",Table24810[[#This Row],[Output]])-1)</f>
        <v>700</v>
      </c>
      <c r="K3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4" spans="1:11" ht="16" thickTop="1" thickBot="1">
      <c r="A4" s="7" t="s">
        <v>181</v>
      </c>
      <c r="B4" s="2" t="str">
        <f>SUBSTITUTE(SUBSTITUTE(SUBSTITUTE(Table24810[Standard Attributes List]," ",""),".",""),"-","")</f>
        <v>BOREID(IN)</v>
      </c>
      <c r="C4" s="3" t="s">
        <v>532</v>
      </c>
      <c r="D4" s="3" t="str">
        <f>SUBSTITUTE(SUBSTITUTE(SUBSTITUTE(LEFT(Table24810[[#This Row],[Reference]],FIND("=",Table24810[[#This Row],[Reference]])-2)," ",""),".",""),"-","")</f>
        <v>BOREID(IN)</v>
      </c>
      <c r="E4" s="3" t="str">
        <f>TRIM(RIGHT(Table24810[[#This Row],[Reference]],LEN(Table24810[[#This Row],[Reference]])-FIND("=",Table24810[[#This Row],[Reference]])-1))</f>
        <v>4.750</v>
      </c>
      <c r="F4" s="3" t="str">
        <f>VLOOKUP(Table24810[[#This Row],[Column1]],D:E,2,FALSE)</f>
        <v>4.750</v>
      </c>
      <c r="G4" s="3"/>
      <c r="H4" s="4" t="str">
        <f>CONCATENATE(Table24810[[#This Row],[Standard Attributes List]]," = ",IF(Table24810[[#This Row],[Overwrite Value]]="",Table24810[[#This Row],[Ref. Value]],Table24810[[#This Row],[Overwrite Value]]))</f>
        <v>BORE I.D. (IN) = 4.750</v>
      </c>
      <c r="I4" t="str">
        <f>IF(Table24810[[#This Row],[Reference]]=Table24810[[#This Row],[Output]],"OK","NG")</f>
        <v>OK</v>
      </c>
      <c r="J4" s="2" t="str">
        <f>RIGHT(Table24810[[#This Row],[Output]],LEN(Table24810[[#This Row],[Output]])-FIND("=",Table24810[[#This Row],[Output]])-1)</f>
        <v>4.750</v>
      </c>
      <c r="K4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5" spans="1:11" ht="16" thickTop="1" thickBot="1">
      <c r="A5" s="7" t="s">
        <v>15</v>
      </c>
      <c r="B5" s="2" t="str">
        <f>SUBSTITUTE(SUBSTITUTE(SUBSTITUTE(Table24810[Standard Attributes List]," ",""),".",""),"-","")</f>
        <v>CASINGSIZE(IN)</v>
      </c>
      <c r="C5" s="3" t="s">
        <v>183</v>
      </c>
      <c r="D5" s="3" t="str">
        <f>SUBSTITUTE(SUBSTITUTE(SUBSTITUTE(LEFT(Table24810[[#This Row],[Reference]],FIND("=",Table24810[[#This Row],[Reference]])-2)," ",""),".",""),"-","")</f>
        <v>CASINGSIZE(IN)</v>
      </c>
      <c r="E5" s="3" t="str">
        <f>TRIM(RIGHT(Table24810[[#This Row],[Reference]],LEN(Table24810[[#This Row],[Reference]])-FIND("=",Table24810[[#This Row],[Reference]])-1))</f>
        <v>9-5/8</v>
      </c>
      <c r="F5" s="3" t="str">
        <f>VLOOKUP(Table24810[[#This Row],[Column1]],D:E,2,FALSE)</f>
        <v>9-5/8</v>
      </c>
      <c r="G5" s="3"/>
      <c r="H5" s="4" t="str">
        <f>CONCATENATE(Table24810[[#This Row],[Standard Attributes List]]," = ",IF(Table24810[[#This Row],[Overwrite Value]]="",Table24810[[#This Row],[Ref. Value]],Table24810[[#This Row],[Overwrite Value]]))</f>
        <v>CASING SIZE (IN) = 9-5/8</v>
      </c>
      <c r="I5" t="str">
        <f>IF(Table24810[[#This Row],[Reference]]=Table24810[[#This Row],[Output]],"OK","NG")</f>
        <v>OK</v>
      </c>
      <c r="J5" s="2" t="str">
        <f>RIGHT(Table24810[[#This Row],[Output]],LEN(Table24810[[#This Row],[Output]])-FIND("=",Table24810[[#This Row],[Output]])-1)</f>
        <v>9-5/8</v>
      </c>
      <c r="K5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6" spans="1:11" ht="16" thickTop="1" thickBot="1">
      <c r="A6" s="7" t="s">
        <v>16</v>
      </c>
      <c r="B6" s="2" t="str">
        <f>SUBSTITUTE(SUBSTITUTE(SUBSTITUTE(Table24810[Standard Attributes List]," ",""),".",""),"-","")</f>
        <v>CASINGWEIGHTRANGE(PPF)</v>
      </c>
      <c r="C6" s="3" t="s">
        <v>314</v>
      </c>
      <c r="D6" s="3" t="str">
        <f>SUBSTITUTE(SUBSTITUTE(SUBSTITUTE(LEFT(Table24810[[#This Row],[Reference]],FIND("=",Table24810[[#This Row],[Reference]])-2)," ",""),".",""),"-","")</f>
        <v>CASINGWEIGHTRANGE(PPF)</v>
      </c>
      <c r="E6" s="3" t="str">
        <f>TRIM(RIGHT(Table24810[[#This Row],[Reference]],LEN(Table24810[[#This Row],[Reference]])-FIND("=",Table24810[[#This Row],[Reference]])-1))</f>
        <v>40-47</v>
      </c>
      <c r="F6" s="3" t="str">
        <f>VLOOKUP(Table24810[[#This Row],[Column1]],D:E,2,FALSE)</f>
        <v>40-47</v>
      </c>
      <c r="G6" s="3"/>
      <c r="H6" s="4" t="str">
        <f>CONCATENATE(Table24810[[#This Row],[Standard Attributes List]]," = ",IF(Table24810[[#This Row],[Overwrite Value]]="",Table24810[[#This Row],[Ref. Value]],Table24810[[#This Row],[Overwrite Value]]))</f>
        <v>CASING WEIGHT RANGE (PPF) = 40-47</v>
      </c>
      <c r="I6" t="str">
        <f>IF(Table24810[[#This Row],[Reference]]=Table24810[[#This Row],[Output]],"OK","NG")</f>
        <v>OK</v>
      </c>
      <c r="J6" s="2" t="str">
        <f>RIGHT(Table24810[[#This Row],[Output]],LEN(Table24810[[#This Row],[Output]])-FIND("=",Table24810[[#This Row],[Output]])-1)</f>
        <v>40-47</v>
      </c>
      <c r="K6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7" spans="1:11" ht="16" thickTop="1" thickBot="1">
      <c r="A7" s="7" t="s">
        <v>17</v>
      </c>
      <c r="B7" s="2" t="str">
        <f>SUBSTITUTE(SUBSTITUTE(SUBSTITUTE(Table24810[Standard Attributes List]," ",""),".",""),"-","")</f>
        <v>CERTIFICATIONSTATUS</v>
      </c>
      <c r="C7" s="3" t="s">
        <v>533</v>
      </c>
      <c r="D7" s="3" t="str">
        <f>SUBSTITUTE(SUBSTITUTE(SUBSTITUTE(LEFT(Table24810[[#This Row],[Reference]],FIND("=",Table24810[[#This Row],[Reference]])-2)," ",""),".",""),"-","")</f>
        <v>CERTIFICATIONSTATUS</v>
      </c>
      <c r="E7" s="3" t="str">
        <f>TRIM(RIGHT(Table24810[[#This Row],[Reference]],LEN(Table24810[[#This Row],[Reference]])-FIND("=",Table24810[[#This Row],[Reference]])-1))</f>
        <v>N/A</v>
      </c>
      <c r="F7" s="3" t="str">
        <f>VLOOKUP(Table24810[[#This Row],[Column1]],D:E,2,FALSE)</f>
        <v>N/A</v>
      </c>
      <c r="G7" s="3"/>
      <c r="H7" s="4" t="str">
        <f>CONCATENATE(Table24810[[#This Row],[Standard Attributes List]]," = ",IF(Table24810[[#This Row],[Overwrite Value]]="",Table24810[[#This Row],[Ref. Value]],Table24810[[#This Row],[Overwrite Value]]))</f>
        <v>CERTIFICATION STATUS = N/A</v>
      </c>
      <c r="I7" t="str">
        <f>IF(Table24810[[#This Row],[Reference]]=Table24810[[#This Row],[Output]],"OK","NG")</f>
        <v>OK</v>
      </c>
      <c r="J7" s="2" t="str">
        <f>RIGHT(Table24810[[#This Row],[Output]],LEN(Table24810[[#This Row],[Output]])-FIND("=",Table24810[[#This Row],[Output]])-1)</f>
        <v>N/A</v>
      </c>
      <c r="K7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8" spans="1:11" ht="16" thickTop="1" thickBot="1">
      <c r="A8" s="7" t="s">
        <v>36</v>
      </c>
      <c r="B8" s="2" t="str">
        <f>SUBSTITUTE(SUBSTITUTE(SUBSTITUTE(Table24810[Standard Attributes List]," ",""),".",""),"-","")</f>
        <v>CONVEYANCEMETHOD</v>
      </c>
      <c r="C8" s="3" t="s">
        <v>69</v>
      </c>
      <c r="D8" s="3" t="str">
        <f>SUBSTITUTE(SUBSTITUTE(SUBSTITUTE(LEFT(Table24810[[#This Row],[Reference]],FIND("=",Table24810[[#This Row],[Reference]])-2)," ",""),".",""),"-","")</f>
        <v>CONVEYANCEMETHOD</v>
      </c>
      <c r="E8" s="3" t="str">
        <f>TRIM(RIGHT(Table24810[[#This Row],[Reference]],LEN(Table24810[[#This Row],[Reference]])-FIND("=",Table24810[[#This Row],[Reference]])-1))</f>
        <v>TUBING</v>
      </c>
      <c r="F8" s="3" t="str">
        <f>VLOOKUP(Table24810[[#This Row],[Column1]],D:E,2,FALSE)</f>
        <v>TUBING</v>
      </c>
      <c r="G8" s="3"/>
      <c r="H8" s="4" t="str">
        <f>CONCATENATE(Table24810[[#This Row],[Standard Attributes List]]," = ",IF(Table24810[[#This Row],[Overwrite Value]]="",Table24810[[#This Row],[Ref. Value]],Table24810[[#This Row],[Overwrite Value]]))</f>
        <v>CONVEYANCE METHOD = TUBING</v>
      </c>
      <c r="I8" t="str">
        <f>IF(Table24810[[#This Row],[Reference]]=Table24810[[#This Row],[Output]],"OK","NG")</f>
        <v>OK</v>
      </c>
      <c r="J8" s="2" t="str">
        <f>RIGHT(Table24810[[#This Row],[Output]],LEN(Table24810[[#This Row],[Output]])-FIND("=",Table24810[[#This Row],[Output]])-1)</f>
        <v>TUBING</v>
      </c>
      <c r="K8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9" spans="1:11" ht="16" thickTop="1" thickBot="1">
      <c r="A9" s="7" t="s">
        <v>18</v>
      </c>
      <c r="B9" s="2" t="str">
        <f>SUBSTITUTE(SUBSTITUTE(SUBSTITUTE(Table24810[Standard Attributes List]," ",""),".",""),"-","")</f>
        <v>DIFFERENTIALPRESSURERATING(PSI)</v>
      </c>
      <c r="C9" s="3" t="s">
        <v>189</v>
      </c>
      <c r="D9" s="3" t="str">
        <f>SUBSTITUTE(SUBSTITUTE(SUBSTITUTE(LEFT(Table24810[[#This Row],[Reference]],FIND("=",Table24810[[#This Row],[Reference]])-2)," ",""),".",""),"-","")</f>
        <v>DIFFERENTIALPRESSURERATING(PSI)</v>
      </c>
      <c r="E9" s="3" t="str">
        <f>TRIM(RIGHT(Table24810[[#This Row],[Reference]],LEN(Table24810[[#This Row],[Reference]])-FIND("=",Table24810[[#This Row],[Reference]])-1))</f>
        <v>6000</v>
      </c>
      <c r="F9" s="3" t="str">
        <f>VLOOKUP(Table24810[[#This Row],[Column1]],D:E,2,FALSE)</f>
        <v>6000</v>
      </c>
      <c r="G9" s="3"/>
      <c r="H9" s="4" t="str">
        <f>CONCATENATE(Table24810[[#This Row],[Standard Attributes List]]," = ",IF(Table24810[[#This Row],[Overwrite Value]]="",Table24810[[#This Row],[Ref. Value]],Table24810[[#This Row],[Overwrite Value]]))</f>
        <v>DIFFERENTIAL PRESSURE RATING (PSI) = 6000</v>
      </c>
      <c r="I9" t="str">
        <f>IF(Table24810[[#This Row],[Reference]]=Table24810[[#This Row],[Output]],"OK","NG")</f>
        <v>OK</v>
      </c>
      <c r="J9" s="2" t="str">
        <f>RIGHT(Table24810[[#This Row],[Output]],LEN(Table24810[[#This Row],[Output]])-FIND("=",Table24810[[#This Row],[Output]])-1)</f>
        <v>6000</v>
      </c>
      <c r="K9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0" spans="1:11" ht="16" thickTop="1" thickBot="1">
      <c r="A10" s="7" t="s">
        <v>19</v>
      </c>
      <c r="B10" s="2" t="str">
        <f>SUBSTITUTE(SUBSTITUTE(SUBSTITUTE(Table24810[Standard Attributes List]," ",""),".",""),"-","")</f>
        <v>DIFFERENTIALRATINGISOLATED(PSI)</v>
      </c>
      <c r="C10" s="3" t="s">
        <v>486</v>
      </c>
      <c r="D10" s="3" t="str">
        <f>SUBSTITUTE(SUBSTITUTE(SUBSTITUTE(LEFT(Table24810[[#This Row],[Reference]],FIND("=",Table24810[[#This Row],[Reference]])-2)," ",""),".",""),"-","")</f>
        <v>DIFFERENTIALRATINGISOLATED(PSI)</v>
      </c>
      <c r="E10" s="3" t="str">
        <f>TRIM(RIGHT(Table24810[[#This Row],[Reference]],LEN(Table24810[[#This Row],[Reference]])-FIND("=",Table24810[[#This Row],[Reference]])-1))</f>
        <v>N/A</v>
      </c>
      <c r="F10" s="3" t="str">
        <f>VLOOKUP(Table24810[[#This Row],[Column1]],D:E,2,FALSE)</f>
        <v>N/A</v>
      </c>
      <c r="G10" s="3"/>
      <c r="H10" s="4" t="str">
        <f>CONCATENATE(Table24810[[#This Row],[Standard Attributes List]]," = ",IF(Table24810[[#This Row],[Overwrite Value]]="",Table24810[[#This Row],[Ref. Value]],Table24810[[#This Row],[Overwrite Value]]))</f>
        <v>DIFFERENTIAL RATING ISOLATED (PSI) = N/A</v>
      </c>
      <c r="I10" t="str">
        <f>IF(Table24810[[#This Row],[Reference]]=Table24810[[#This Row],[Output]],"OK","NG")</f>
        <v>OK</v>
      </c>
      <c r="J10" s="2" t="str">
        <f>RIGHT(Table24810[[#This Row],[Output]],LEN(Table24810[[#This Row],[Output]])-FIND("=",Table24810[[#This Row],[Output]])-1)</f>
        <v>N/A</v>
      </c>
      <c r="K10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1" spans="1:11" ht="16" thickTop="1" thickBot="1">
      <c r="A11" s="7" t="s">
        <v>20</v>
      </c>
      <c r="B11" s="2" t="str">
        <f>SUBSTITUTE(SUBSTITUTE(SUBSTITUTE(Table24810[Standard Attributes List]," ",""),".",""),"-","")</f>
        <v>DIFFERENTIALRATINGPLUGGED(PSI)</v>
      </c>
      <c r="C11" s="3" t="s">
        <v>487</v>
      </c>
      <c r="D11" s="3" t="str">
        <f>SUBSTITUTE(SUBSTITUTE(SUBSTITUTE(LEFT(Table24810[[#This Row],[Reference]],FIND("=",Table24810[[#This Row],[Reference]])-2)," ",""),".",""),"-","")</f>
        <v>DIFFERENTIALRATINGPLUGGED(PSI)</v>
      </c>
      <c r="E11" s="3" t="str">
        <f>TRIM(RIGHT(Table24810[[#This Row],[Reference]],LEN(Table24810[[#This Row],[Reference]])-FIND("=",Table24810[[#This Row],[Reference]])-1))</f>
        <v>N/A</v>
      </c>
      <c r="F11" s="3" t="str">
        <f>VLOOKUP(Table24810[[#This Row],[Column1]],D:E,2,FALSE)</f>
        <v>N/A</v>
      </c>
      <c r="G11" s="6"/>
      <c r="H11" s="4" t="str">
        <f>CONCATENATE(Table24810[[#This Row],[Standard Attributes List]]," = ",IF(Table24810[[#This Row],[Overwrite Value]]="",Table24810[[#This Row],[Ref. Value]],Table24810[[#This Row],[Overwrite Value]]))</f>
        <v>DIFFERENTIAL RATING PLUGGED (PSI) = N/A</v>
      </c>
      <c r="I11" t="str">
        <f>IF(Table24810[[#This Row],[Reference]]=Table24810[[#This Row],[Output]],"OK","NG")</f>
        <v>OK</v>
      </c>
      <c r="J11" s="2" t="str">
        <f>RIGHT(Table24810[[#This Row],[Output]],LEN(Table24810[[#This Row],[Output]])-FIND("=",Table24810[[#This Row],[Output]])-1)</f>
        <v>N/A</v>
      </c>
      <c r="K11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2" spans="1:11" ht="16" thickTop="1" thickBot="1">
      <c r="A12" s="7" t="s">
        <v>37</v>
      </c>
      <c r="B12" s="2" t="str">
        <f>SUBSTITUTE(SUBSTITUTE(SUBSTITUTE(Table24810[Standard Attributes List]," ",""),".",""),"-","")</f>
        <v>DIFFERENTIALRATINGUNPLUGGED(PSI)</v>
      </c>
      <c r="C12" s="3" t="s">
        <v>534</v>
      </c>
      <c r="D12" s="3" t="str">
        <f>SUBSTITUTE(SUBSTITUTE(SUBSTITUTE(LEFT(Table24810[[#This Row],[Reference]],FIND("=",Table24810[[#This Row],[Reference]])-2)," ",""),".",""),"-","")</f>
        <v>DIFFERENTIALRATINGUNPLUGGED(PSI)</v>
      </c>
      <c r="E12" s="3" t="str">
        <f>TRIM(RIGHT(Table24810[[#This Row],[Reference]],LEN(Table24810[[#This Row],[Reference]])-FIND("=",Table24810[[#This Row],[Reference]])-1))</f>
        <v>N/A</v>
      </c>
      <c r="F12" s="3" t="str">
        <f>VLOOKUP(Table24810[[#This Row],[Column1]],D:E,2,FALSE)</f>
        <v>N/A</v>
      </c>
      <c r="G12" s="3"/>
      <c r="H12" s="4" t="str">
        <f>CONCATENATE(Table24810[[#This Row],[Standard Attributes List]]," = ",IF(Table24810[[#This Row],[Overwrite Value]]="",Table24810[[#This Row],[Ref. Value]],Table24810[[#This Row],[Overwrite Value]]))</f>
        <v>DIFFERENTIAL RATING UNPLUGGED (PSI) = N/A</v>
      </c>
      <c r="I12" t="str">
        <f>IF(Table24810[[#This Row],[Reference]]=Table24810[[#This Row],[Output]],"OK","NG")</f>
        <v>OK</v>
      </c>
      <c r="J12" s="2" t="str">
        <f>RIGHT(Table24810[[#This Row],[Output]],LEN(Table24810[[#This Row],[Output]])-FIND("=",Table24810[[#This Row],[Output]])-1)</f>
        <v>N/A</v>
      </c>
      <c r="K12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3" spans="1:11" ht="16" thickTop="1" thickBot="1">
      <c r="A13" s="7" t="s">
        <v>2</v>
      </c>
      <c r="B13" s="2" t="str">
        <f>SUBSTITUTE(SUBSTITUTE(SUBSTITUTE(Table24810[Standard Attributes List]," ",""),".",""),"-","")</f>
        <v>EXTERNALWORKINGPRESSURE(PSI)EOECATSPECIFIEDTEMP(F)</v>
      </c>
      <c r="C13" s="3" t="s">
        <v>535</v>
      </c>
      <c r="D13" s="3" t="str">
        <f>SUBSTITUTE(SUBSTITUTE(SUBSTITUTE(LEFT(Table24810[[#This Row],[Reference]],FIND("=",Table24810[[#This Row],[Reference]])-2)," ",""),".",""),"-","")</f>
        <v>EXTERNALWORKINGPRESSURE(PSI)EOECATSPECIFIEDTEMP(F)</v>
      </c>
      <c r="E13" s="3" t="str">
        <f>TRIM(RIGHT(Table24810[[#This Row],[Reference]],LEN(Table24810[[#This Row],[Reference]])-FIND("=",Table24810[[#This Row],[Reference]])-1))</f>
        <v>N/A</v>
      </c>
      <c r="F13" s="3" t="str">
        <f>VLOOKUP(Table24810[[#This Row],[Column1]],D:E,2,FALSE)</f>
        <v>N/A</v>
      </c>
      <c r="G13" s="3"/>
      <c r="H13" s="4" t="str">
        <f>CONCATENATE(Table24810[[#This Row],[Standard Attributes List]]," = ",IF(Table24810[[#This Row],[Overwrite Value]]="",Table24810[[#This Row],[Ref. Value]],Table24810[[#This Row],[Overwrite Value]]))</f>
        <v>EXTERNAL WORKING PRESSURE (PSI) - EOEC AT SPECIFIED TEMP (F) = N/A</v>
      </c>
      <c r="I13" t="str">
        <f>IF(Table24810[[#This Row],[Reference]]=Table24810[[#This Row],[Output]],"OK","NG")</f>
        <v>OK</v>
      </c>
      <c r="J13" s="2" t="str">
        <f>RIGHT(Table24810[[#This Row],[Output]],LEN(Table24810[[#This Row],[Output]])-FIND("=",Table24810[[#This Row],[Output]])-1)</f>
        <v>N/A</v>
      </c>
      <c r="K13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4" spans="1:11" ht="16" thickTop="1" thickBot="1">
      <c r="A14" s="7" t="s">
        <v>52</v>
      </c>
      <c r="B14" s="2" t="str">
        <f>SUBSTITUTE(SUBSTITUTE(SUBSTITUTE(Table24810[Standard Attributes List]," ",""),".",""),"-","")</f>
        <v>ID(IN)</v>
      </c>
      <c r="C14" s="3" t="s">
        <v>536</v>
      </c>
      <c r="D14" s="3" t="str">
        <f>SUBSTITUTE(SUBSTITUTE(SUBSTITUTE(LEFT(Table24810[[#This Row],[Reference]],FIND("=",Table24810[[#This Row],[Reference]])-2)," ",""),".",""),"-","")</f>
        <v>ID(IN)</v>
      </c>
      <c r="E14" s="3" t="str">
        <f>TRIM(RIGHT(Table24810[[#This Row],[Reference]],LEN(Table24810[[#This Row],[Reference]])-FIND("=",Table24810[[#This Row],[Reference]])-1))</f>
        <v>3.928</v>
      </c>
      <c r="F14" s="3" t="str">
        <f>VLOOKUP(Table24810[[#This Row],[Column1]],D:E,2,FALSE)</f>
        <v>3.928</v>
      </c>
      <c r="G14" s="3"/>
      <c r="H14" s="4" t="str">
        <f>CONCATENATE(Table24810[[#This Row],[Standard Attributes List]]," = ",IF(Table24810[[#This Row],[Overwrite Value]]="",Table24810[[#This Row],[Ref. Value]],Table24810[[#This Row],[Overwrite Value]]))</f>
        <v>I.D. (IN) = 3.928</v>
      </c>
      <c r="I14" t="str">
        <f>IF(Table24810[[#This Row],[Reference]]=Table24810[[#This Row],[Output]],"OK","NG")</f>
        <v>OK</v>
      </c>
      <c r="J14" s="2" t="str">
        <f>RIGHT(Table24810[[#This Row],[Output]],LEN(Table24810[[#This Row],[Output]])-FIND("=",Table24810[[#This Row],[Output]])-1)</f>
        <v>3.928</v>
      </c>
      <c r="K14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5" spans="1:11" ht="16" thickTop="1" thickBot="1">
      <c r="A15" s="7" t="s">
        <v>51</v>
      </c>
      <c r="B15" s="2" t="str">
        <f>SUBSTITUTE(SUBSTITUTE(SUBSTITUTE(Table24810[Standard Attributes List]," ",""),".",""),"-","")</f>
        <v>IDMIN(IN)</v>
      </c>
      <c r="C15" s="3" t="s">
        <v>537</v>
      </c>
      <c r="D15" s="3" t="str">
        <f>SUBSTITUTE(SUBSTITUTE(SUBSTITUTE(LEFT(Table24810[[#This Row],[Reference]],FIND("=",Table24810[[#This Row],[Reference]])-2)," ",""),".",""),"-","")</f>
        <v>IDMIN(IN)</v>
      </c>
      <c r="E15" s="3" t="str">
        <f>TRIM(RIGHT(Table24810[[#This Row],[Reference]],LEN(Table24810[[#This Row],[Reference]])-FIND("=",Table24810[[#This Row],[Reference]])-1))</f>
        <v>3.918</v>
      </c>
      <c r="F15" s="3" t="str">
        <f>VLOOKUP(Table24810[[#This Row],[Column1]],D:E,2,FALSE)</f>
        <v>3.918</v>
      </c>
      <c r="G15" s="8"/>
      <c r="H15" s="4" t="str">
        <f>CONCATENATE(Table24810[[#This Row],[Standard Attributes List]]," = ",IF(Table24810[[#This Row],[Overwrite Value]]="",Table24810[[#This Row],[Ref. Value]],Table24810[[#This Row],[Overwrite Value]]))</f>
        <v>I.D. - MIN. (IN) = 3.918</v>
      </c>
      <c r="I15" t="str">
        <f>IF(Table24810[[#This Row],[Reference]]=Table24810[[#This Row],[Output]],"OK","NG")</f>
        <v>OK</v>
      </c>
      <c r="J15" s="2" t="str">
        <f>RIGHT(Table24810[[#This Row],[Output]],LEN(Table24810[[#This Row],[Output]])-FIND("=",Table24810[[#This Row],[Output]])-1)</f>
        <v>3.918</v>
      </c>
      <c r="K15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6" spans="1:11" ht="16" thickTop="1" thickBot="1">
      <c r="A16" s="7" t="s">
        <v>50</v>
      </c>
      <c r="B16" s="2" t="str">
        <f>SUBSTITUTE(SUBSTITUTE(SUBSTITUTE(Table24810[Standard Attributes List]," ",""),".",""),"-","")</f>
        <v>IDDRIFT(IN)</v>
      </c>
      <c r="C16" s="3" t="s">
        <v>349</v>
      </c>
      <c r="D16" s="3" t="str">
        <f>SUBSTITUTE(SUBSTITUTE(SUBSTITUTE(LEFT(Table24810[[#This Row],[Reference]],FIND("=",Table24810[[#This Row],[Reference]])-2)," ",""),".",""),"-","")</f>
        <v>IDDRIFT(IN)</v>
      </c>
      <c r="E16" s="3" t="str">
        <f>TRIM(RIGHT(Table24810[[#This Row],[Reference]],LEN(Table24810[[#This Row],[Reference]])-FIND("=",Table24810[[#This Row],[Reference]])-1))</f>
        <v>3.833</v>
      </c>
      <c r="F16" s="3" t="str">
        <f>VLOOKUP(Table24810[[#This Row],[Column1]],D:E,2,FALSE)</f>
        <v>3.833</v>
      </c>
      <c r="G16" s="3"/>
      <c r="H16" s="4" t="str">
        <f>CONCATENATE(Table24810[[#This Row],[Standard Attributes List]]," = ",IF(Table24810[[#This Row],[Overwrite Value]]="",Table24810[[#This Row],[Ref. Value]],Table24810[[#This Row],[Overwrite Value]]))</f>
        <v>I.D. - DRIFT (IN) = 3.833</v>
      </c>
      <c r="I16" t="str">
        <f>IF(Table24810[[#This Row],[Reference]]=Table24810[[#This Row],[Output]],"OK","NG")</f>
        <v>OK</v>
      </c>
      <c r="J16" s="2" t="str">
        <f>RIGHT(Table24810[[#This Row],[Output]],LEN(Table24810[[#This Row],[Output]])-FIND("=",Table24810[[#This Row],[Output]])-1)</f>
        <v>3.833</v>
      </c>
      <c r="K16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7" spans="1:11" ht="16" thickTop="1" thickBot="1">
      <c r="A17" s="7" t="s">
        <v>3</v>
      </c>
      <c r="B17" s="2" t="str">
        <f>SUBSTITUTE(SUBSTITUTE(SUBSTITUTE(Table24810[Standard Attributes List]," ",""),".",""),"-","")</f>
        <v>INTERNALWORKINGPRESSURE(PSI)EOECATSPECIFIEDTEMP(F)</v>
      </c>
      <c r="C17" s="3" t="s">
        <v>538</v>
      </c>
      <c r="D17" s="3" t="str">
        <f>SUBSTITUTE(SUBSTITUTE(SUBSTITUTE(LEFT(Table24810[[#This Row],[Reference]],FIND("=",Table24810[[#This Row],[Reference]])-2)," ",""),".",""),"-","")</f>
        <v>INTERNALWORKINGPRESSURE(PSI)EOECATSPECIFIEDTEMP(F)</v>
      </c>
      <c r="E17" s="3" t="str">
        <f>TRIM(RIGHT(Table24810[[#This Row],[Reference]],LEN(Table24810[[#This Row],[Reference]])-FIND("=",Table24810[[#This Row],[Reference]])-1))</f>
        <v>N/A</v>
      </c>
      <c r="F17" s="3" t="str">
        <f>VLOOKUP(Table24810[[#This Row],[Column1]],D:E,2,FALSE)</f>
        <v>N/A</v>
      </c>
      <c r="G17" s="3"/>
      <c r="H17" s="4" t="str">
        <f>CONCATENATE(Table24810[[#This Row],[Standard Attributes List]]," = ",IF(Table24810[[#This Row],[Overwrite Value]]="",Table24810[[#This Row],[Ref. Value]],Table24810[[#This Row],[Overwrite Value]]))</f>
        <v>INTERNAL WORKING PRESSURE (PSI) - EOEC AT SPECIFIED TEMP (F) = N/A</v>
      </c>
      <c r="I17" t="str">
        <f>IF(Table24810[[#This Row],[Reference]]=Table24810[[#This Row],[Output]],"OK","NG")</f>
        <v>OK</v>
      </c>
      <c r="J17" s="2" t="str">
        <f>RIGHT(Table24810[[#This Row],[Output]],LEN(Table24810[[#This Row],[Output]])-FIND("=",Table24810[[#This Row],[Output]])-1)</f>
        <v>N/A</v>
      </c>
      <c r="K17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8" spans="1:11" ht="16" thickTop="1" thickBot="1">
      <c r="A18" s="7" t="s">
        <v>4</v>
      </c>
      <c r="B18" s="2" t="str">
        <f>SUBSTITUTE(SUBSTITUTE(SUBSTITUTE(Table24810[Standard Attributes List]," ",""),".",""),"-","")</f>
        <v>LOWERTHREADCONNECTINGSIZE(IN),WT(PPF),TYPE,CONFIG</v>
      </c>
      <c r="C18" s="3" t="s">
        <v>539</v>
      </c>
      <c r="D18" s="3" t="str">
        <f>SUBSTITUTE(SUBSTITUTE(SUBSTITUTE(LEFT(Table24810[[#This Row],[Reference]],FIND("=",Table24810[[#This Row],[Reference]])-2)," ",""),".",""),"-","")</f>
        <v>LOWERTHREADCONNECTINGSIZE(IN),WT(PPF),TYPE,CONFIG</v>
      </c>
      <c r="E18" s="3" t="str">
        <f>TRIM(RIGHT(Table24810[[#This Row],[Reference]],LEN(Table24810[[#This Row],[Reference]])-FIND("=",Table24810[[#This Row],[Reference]])-1))</f>
        <v>4.500, 12.6, NEW VAM, PIN</v>
      </c>
      <c r="F18" s="3" t="str">
        <f>VLOOKUP(Table24810[[#This Row],[Column1]],D:E,2,FALSE)</f>
        <v>4.500, 12.6, NEW VAM, PIN</v>
      </c>
      <c r="G18" s="3" t="s">
        <v>397</v>
      </c>
      <c r="H18" s="4" t="str">
        <f>CONCATENATE(Table24810[[#This Row],[Standard Attributes List]]," = ",IF(Table24810[[#This Row],[Overwrite Value]]="",Table24810[[#This Row],[Ref. Value]],Table24810[[#This Row],[Overwrite Value]]))</f>
        <v>LOWER THREAD CONNECTING - SIZE (IN), WT (PPF), TYPE, CONFIG = 4.500, 12.6, VAM TOP, PIN</v>
      </c>
      <c r="I18" t="str">
        <f>IF(Table24810[[#This Row],[Reference]]=Table24810[[#This Row],[Output]],"OK","NG")</f>
        <v>NG</v>
      </c>
      <c r="J18" s="2" t="str">
        <f>RIGHT(Table24810[[#This Row],[Output]],LEN(Table24810[[#This Row],[Output]])-FIND("=",Table24810[[#This Row],[Output]])-1)</f>
        <v>4.500, 12.6, VAM TOP, PIN</v>
      </c>
      <c r="K18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>LOWER THREAD CONNECTING - SIZE (IN), WT (PPF), TYPE, CONFIG CHANGED TO "4.500, 12.6, VAM TOP, PIN"</v>
      </c>
    </row>
    <row r="19" spans="1:11" ht="16" thickTop="1" thickBot="1">
      <c r="A19" s="7" t="s">
        <v>53</v>
      </c>
      <c r="B19" s="2" t="str">
        <f>SUBSTITUTE(SUBSTITUTE(SUBSTITUTE(Table24810[Standard Attributes List]," ",""),".",""),"-","")</f>
        <v>MAKEUPLENGTH(IN)</v>
      </c>
      <c r="C19" s="3" t="s">
        <v>540</v>
      </c>
      <c r="D19" s="3" t="str">
        <f>SUBSTITUTE(SUBSTITUTE(SUBSTITUTE(LEFT(Table24810[[#This Row],[Reference]],FIND("=",Table24810[[#This Row],[Reference]])-2)," ",""),".",""),"-","")</f>
        <v>MAKEUPLENGTH(IN)</v>
      </c>
      <c r="E19" s="3" t="str">
        <f>TRIM(RIGHT(Table24810[[#This Row],[Reference]],LEN(Table24810[[#This Row],[Reference]])-FIND("=",Table24810[[#This Row],[Reference]])-1))</f>
        <v>75</v>
      </c>
      <c r="F19" s="3" t="str">
        <f>VLOOKUP(Table24810[[#This Row],[Column1]],D:E,2,FALSE)</f>
        <v>75</v>
      </c>
      <c r="G19" s="3">
        <v>76</v>
      </c>
      <c r="H19" s="4" t="str">
        <f>CONCATENATE(Table24810[[#This Row],[Standard Attributes List]]," = ",IF(Table24810[[#This Row],[Overwrite Value]]="",Table24810[[#This Row],[Ref. Value]],Table24810[[#This Row],[Overwrite Value]]))</f>
        <v>MAKE-UP LENGTH (IN) = 76</v>
      </c>
      <c r="I19" t="str">
        <f>IF(Table24810[[#This Row],[Reference]]=Table24810[[#This Row],[Output]],"OK","NG")</f>
        <v>NG</v>
      </c>
      <c r="J19" s="2" t="str">
        <f>RIGHT(Table24810[[#This Row],[Output]],LEN(Table24810[[#This Row],[Output]])-FIND("=",Table24810[[#This Row],[Output]])-1)</f>
        <v>76</v>
      </c>
      <c r="K19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>MAKE-UP LENGTH (IN) CHANGED TO "76"</v>
      </c>
    </row>
    <row r="20" spans="1:11" ht="16" thickTop="1" thickBot="1">
      <c r="A20" s="7" t="s">
        <v>5</v>
      </c>
      <c r="B20" s="2" t="str">
        <f>SUBSTITUTE(SUBSTITUTE(SUBSTITUTE(Table24810[Standard Attributes List]," ",""),".",""),"-","")</f>
        <v>MATERIAL/ELASTOMERS</v>
      </c>
      <c r="C20" s="3" t="s">
        <v>541</v>
      </c>
      <c r="D20" s="3" t="str">
        <f>SUBSTITUTE(SUBSTITUTE(SUBSTITUTE(LEFT(Table24810[[#This Row],[Reference]],FIND("=",Table24810[[#This Row],[Reference]])-2)," ",""),".",""),"-","")</f>
        <v>MATERIAL/ELASTOMERS</v>
      </c>
      <c r="E20" s="3" t="str">
        <f>TRIM(RIGHT(Table24810[[#This Row],[Reference]],LEN(Table24810[[#This Row],[Reference]])-FIND("=",Table24810[[#This Row],[Reference]])-1))</f>
        <v>NITRILE</v>
      </c>
      <c r="F20" s="3" t="str">
        <f>VLOOKUP(Table24810[[#This Row],[Column1]],D:E,2,FALSE)</f>
        <v>NITRILE</v>
      </c>
      <c r="G20" s="3"/>
      <c r="H20" s="4" t="str">
        <f>CONCATENATE(Table24810[[#This Row],[Standard Attributes List]]," = ",IF(Table24810[[#This Row],[Overwrite Value]]="",Table24810[[#This Row],[Ref. Value]],Table24810[[#This Row],[Overwrite Value]]))</f>
        <v>MATERIAL/ELASTOMERS = NITRILE</v>
      </c>
      <c r="I20" t="str">
        <f>IF(Table24810[[#This Row],[Reference]]=Table24810[[#This Row],[Output]],"OK","NG")</f>
        <v>OK</v>
      </c>
      <c r="J20" s="2" t="str">
        <f>RIGHT(Table24810[[#This Row],[Output]],LEN(Table24810[[#This Row],[Output]])-FIND("=",Table24810[[#This Row],[Output]])-1)</f>
        <v>NITRILE</v>
      </c>
      <c r="K20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1" spans="1:11" ht="16" thickTop="1" thickBot="1">
      <c r="A21" s="7" t="s">
        <v>21</v>
      </c>
      <c r="B21" s="2" t="str">
        <f>SUBSTITUTE(SUBSTITUTE(SUBSTITUTE(Table24810[Standard Attributes List]," ",""),".",""),"-","")</f>
        <v>MATERIAL/ELEMENTS</v>
      </c>
      <c r="C21" s="3" t="s">
        <v>542</v>
      </c>
      <c r="D21" s="3" t="str">
        <f>SUBSTITUTE(SUBSTITUTE(SUBSTITUTE(LEFT(Table24810[[#This Row],[Reference]],FIND("=",Table24810[[#This Row],[Reference]])-2)," ",""),".",""),"-","")</f>
        <v>MATERIAL/ELEMENTS</v>
      </c>
      <c r="E21" s="3" t="str">
        <f>TRIM(RIGHT(Table24810[[#This Row],[Reference]],LEN(Table24810[[#This Row],[Reference]])-FIND("=",Table24810[[#This Row],[Reference]])-1))</f>
        <v>NITRILE</v>
      </c>
      <c r="F21" s="3" t="str">
        <f>VLOOKUP(Table24810[[#This Row],[Column1]],D:E,2,FALSE)</f>
        <v>NITRILE</v>
      </c>
      <c r="G21" s="6"/>
      <c r="H21" s="4" t="str">
        <f>CONCATENATE(Table24810[[#This Row],[Standard Attributes List]]," = ",IF(Table24810[[#This Row],[Overwrite Value]]="",Table24810[[#This Row],[Ref. Value]],Table24810[[#This Row],[Overwrite Value]]))</f>
        <v>MATERIAL/ELEMENTS = NITRILE</v>
      </c>
      <c r="I21" t="str">
        <f>IF(Table24810[[#This Row],[Reference]]=Table24810[[#This Row],[Output]],"OK","NG")</f>
        <v>OK</v>
      </c>
      <c r="J21" s="2" t="str">
        <f>RIGHT(Table24810[[#This Row],[Output]],LEN(Table24810[[#This Row],[Output]])-FIND("=",Table24810[[#This Row],[Output]])-1)</f>
        <v>NITRILE</v>
      </c>
      <c r="K21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2" spans="1:11" ht="16" thickTop="1" thickBot="1">
      <c r="A22" s="7" t="s">
        <v>22</v>
      </c>
      <c r="B22" s="2" t="str">
        <f>SUBSTITUTE(SUBSTITUTE(SUBSTITUTE(Table24810[Standard Attributes List]," ",""),".",""),"-","")</f>
        <v>MATERIAL/NONFLOWWETTED</v>
      </c>
      <c r="C22" s="3" t="s">
        <v>543</v>
      </c>
      <c r="D22" s="3" t="str">
        <f>SUBSTITUTE(SUBSTITUTE(SUBSTITUTE(LEFT(Table24810[[#This Row],[Reference]],FIND("=",Table24810[[#This Row],[Reference]])-2)," ",""),".",""),"-","")</f>
        <v>MATERIAL/NONFLOWWETTED</v>
      </c>
      <c r="E22" s="3" t="str">
        <f>TRIM(RIGHT(Table24810[[#This Row],[Reference]],LEN(Table24810[[#This Row],[Reference]])-FIND("=",Table24810[[#This Row],[Reference]])-1))</f>
        <v>41XX, 8620, DUCTILE CAST IRON</v>
      </c>
      <c r="F22" s="3" t="str">
        <f>VLOOKUP(Table24810[[#This Row],[Column1]],D:E,2,FALSE)</f>
        <v>41XX, 8620, DUCTILE CAST IRON</v>
      </c>
      <c r="G22" s="3"/>
      <c r="H22" s="4" t="str">
        <f>CONCATENATE(Table24810[[#This Row],[Standard Attributes List]]," = ",IF(Table24810[[#This Row],[Overwrite Value]]="",Table24810[[#This Row],[Ref. Value]],Table24810[[#This Row],[Overwrite Value]]))</f>
        <v>MATERIAL/NON FLOW WETTED = 41XX, 8620, DUCTILE CAST IRON</v>
      </c>
      <c r="I22" t="str">
        <f>IF(Table24810[[#This Row],[Reference]]=Table24810[[#This Row],[Output]],"OK","NG")</f>
        <v>OK</v>
      </c>
      <c r="J22" s="2" t="str">
        <f>RIGHT(Table24810[[#This Row],[Output]],LEN(Table24810[[#This Row],[Output]])-FIND("=",Table24810[[#This Row],[Output]])-1)</f>
        <v>41XX, 8620, DUCTILE CAST IRON</v>
      </c>
      <c r="K22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3" spans="1:11" ht="16" thickTop="1" thickBot="1">
      <c r="A23" s="7" t="s">
        <v>23</v>
      </c>
      <c r="B23" s="2" t="str">
        <f>SUBSTITUTE(SUBSTITUTE(SUBSTITUTE(Table24810[Standard Attributes List]," ",""),".",""),"-","")</f>
        <v>MATERIAL/ORING(S)</v>
      </c>
      <c r="C23" s="3" t="s">
        <v>544</v>
      </c>
      <c r="D23" s="3" t="str">
        <f>SUBSTITUTE(SUBSTITUTE(SUBSTITUTE(LEFT(Table24810[[#This Row],[Reference]],FIND("=",Table24810[[#This Row],[Reference]])-2)," ",""),".",""),"-","")</f>
        <v>MATERIAL/ORING(S)</v>
      </c>
      <c r="E23" s="3" t="str">
        <f>TRIM(RIGHT(Table24810[[#This Row],[Reference]],LEN(Table24810[[#This Row],[Reference]])-FIND("=",Table24810[[#This Row],[Reference]])-1))</f>
        <v>NITRILE</v>
      </c>
      <c r="F23" s="3" t="str">
        <f>VLOOKUP(Table24810[[#This Row],[Column1]],D:E,2,FALSE)</f>
        <v>NITRILE</v>
      </c>
      <c r="G23" s="3"/>
      <c r="H23" s="4" t="str">
        <f>CONCATENATE(Table24810[[#This Row],[Standard Attributes List]]," = ",IF(Table24810[[#This Row],[Overwrite Value]]="",Table24810[[#This Row],[Ref. Value]],Table24810[[#This Row],[Overwrite Value]]))</f>
        <v>MATERIAL/O-RING(S) = NITRILE</v>
      </c>
      <c r="I23" t="str">
        <f>IF(Table24810[[#This Row],[Reference]]=Table24810[[#This Row],[Output]],"OK","NG")</f>
        <v>OK</v>
      </c>
      <c r="J23" s="2" t="str">
        <f>RIGHT(Table24810[[#This Row],[Output]],LEN(Table24810[[#This Row],[Output]])-FIND("=",Table24810[[#This Row],[Output]])-1)</f>
        <v>NITRILE</v>
      </c>
      <c r="K23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4" spans="1:11" ht="16" thickTop="1" thickBot="1">
      <c r="A24" s="7" t="s">
        <v>6</v>
      </c>
      <c r="B24" s="2" t="str">
        <f>SUBSTITUTE(SUBSTITUTE(SUBSTITUTE(Table24810[Standard Attributes List]," ",""),".",""),"-","")</f>
        <v>MAXWORKINGTEMPERATURE(DEGF)</v>
      </c>
      <c r="C24" s="3" t="s">
        <v>291</v>
      </c>
      <c r="D24" s="3" t="str">
        <f>SUBSTITUTE(SUBSTITUTE(SUBSTITUTE(LEFT(Table24810[[#This Row],[Reference]],FIND("=",Table24810[[#This Row],[Reference]])-2)," ",""),".",""),"-","")</f>
        <v>MAXWORKINGTEMPERATURE(DEGF)</v>
      </c>
      <c r="E24" s="3" t="str">
        <f>TRIM(RIGHT(Table24810[[#This Row],[Reference]],LEN(Table24810[[#This Row],[Reference]])-FIND("=",Table24810[[#This Row],[Reference]])-1))</f>
        <v>250</v>
      </c>
      <c r="F24" s="3" t="str">
        <f>VLOOKUP(Table24810[[#This Row],[Column1]],D:E,2,FALSE)</f>
        <v>250</v>
      </c>
      <c r="G24" s="3"/>
      <c r="H24" s="4" t="str">
        <f>CONCATENATE(Table24810[[#This Row],[Standard Attributes List]]," = ",IF(Table24810[[#This Row],[Overwrite Value]]="",Table24810[[#This Row],[Ref. Value]],Table24810[[#This Row],[Overwrite Value]]))</f>
        <v>MAX. WORKING TEMPERATURE (DEG.F) = 250</v>
      </c>
      <c r="I24" t="str">
        <f>IF(Table24810[[#This Row],[Reference]]=Table24810[[#This Row],[Output]],"OK","NG")</f>
        <v>OK</v>
      </c>
      <c r="J24" s="2" t="str">
        <f>RIGHT(Table24810[[#This Row],[Output]],LEN(Table24810[[#This Row],[Output]])-FIND("=",Table24810[[#This Row],[Output]])-1)</f>
        <v>250</v>
      </c>
      <c r="K24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5" spans="1:11" ht="16" thickTop="1" thickBot="1">
      <c r="A25" s="7" t="s">
        <v>7</v>
      </c>
      <c r="B25" s="2" t="str">
        <f>SUBSTITUTE(SUBSTITUTE(SUBSTITUTE(Table24810[Standard Attributes List]," ",""),".",""),"-","")</f>
        <v>MINWORKINGTEMPERATURE(DEGF)</v>
      </c>
      <c r="C25" s="3" t="s">
        <v>132</v>
      </c>
      <c r="D25" s="3" t="str">
        <f>SUBSTITUTE(SUBSTITUTE(SUBSTITUTE(LEFT(Table24810[[#This Row],[Reference]],FIND("=",Table24810[[#This Row],[Reference]])-2)," ",""),".",""),"-","")</f>
        <v>MINWORKINGTEMPERATURE(DEGF)</v>
      </c>
      <c r="E25" s="3" t="str">
        <f>TRIM(RIGHT(Table24810[[#This Row],[Reference]],LEN(Table24810[[#This Row],[Reference]])-FIND("=",Table24810[[#This Row],[Reference]])-1))</f>
        <v>40</v>
      </c>
      <c r="F25" s="3" t="str">
        <f>VLOOKUP(Table24810[[#This Row],[Column1]],D:E,2,FALSE)</f>
        <v>40</v>
      </c>
      <c r="G25" s="3"/>
      <c r="H25" s="4" t="str">
        <f>CONCATENATE(Table24810[[#This Row],[Standard Attributes List]]," = ",IF(Table24810[[#This Row],[Overwrite Value]]="",Table24810[[#This Row],[Ref. Value]],Table24810[[#This Row],[Overwrite Value]]))</f>
        <v>MIN. WORKING TEMPERATURE (DEG.F) = 40</v>
      </c>
      <c r="I25" t="str">
        <f>IF(Table24810[[#This Row],[Reference]]=Table24810[[#This Row],[Output]],"OK","NG")</f>
        <v>OK</v>
      </c>
      <c r="J25" s="2" t="str">
        <f>RIGHT(Table24810[[#This Row],[Output]],LEN(Table24810[[#This Row],[Output]])-FIND("=",Table24810[[#This Row],[Output]])-1)</f>
        <v>40</v>
      </c>
      <c r="K25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6" spans="1:11" ht="16" thickTop="1" thickBot="1">
      <c r="A26" s="7" t="s">
        <v>9</v>
      </c>
      <c r="B26" s="2" t="str">
        <f>SUBSTITUTE(SUBSTITUTE(SUBSTITUTE(Table24810[Standard Attributes List]," ",""),".",""),"-","")</f>
        <v>OD(IN)</v>
      </c>
      <c r="C26" s="3" t="s">
        <v>545</v>
      </c>
      <c r="D26" s="3" t="str">
        <f>SUBSTITUTE(SUBSTITUTE(SUBSTITUTE(LEFT(Table24810[[#This Row],[Reference]],FIND("=",Table24810[[#This Row],[Reference]])-2)," ",""),".",""),"-","")</f>
        <v>OD(IN)</v>
      </c>
      <c r="E26" s="3" t="str">
        <f>TRIM(RIGHT(Table24810[[#This Row],[Reference]],LEN(Table24810[[#This Row],[Reference]])-FIND("=",Table24810[[#This Row],[Reference]])-1))</f>
        <v>8.440</v>
      </c>
      <c r="F26" s="3" t="str">
        <f>VLOOKUP(Table24810[[#This Row],[Column1]],D:E,2,FALSE)</f>
        <v>8.440</v>
      </c>
      <c r="G26" s="59"/>
      <c r="H26" s="4" t="str">
        <f>CONCATENATE(Table24810[[#This Row],[Standard Attributes List]]," = ",IF(Table24810[[#This Row],[Overwrite Value]]="",Table24810[[#This Row],[Ref. Value]],Table24810[[#This Row],[Overwrite Value]]))</f>
        <v>O.D. (IN) = 8.440</v>
      </c>
      <c r="I26" t="str">
        <f>IF(Table24810[[#This Row],[Reference]]=Table24810[[#This Row],[Output]],"OK","NG")</f>
        <v>OK</v>
      </c>
      <c r="J26" s="2" t="str">
        <f>RIGHT(Table24810[[#This Row],[Output]],LEN(Table24810[[#This Row],[Output]])-FIND("=",Table24810[[#This Row],[Output]])-1)</f>
        <v>8.440</v>
      </c>
      <c r="K26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7" spans="1:11" ht="16" thickTop="1" thickBot="1">
      <c r="A27" s="7" t="s">
        <v>8</v>
      </c>
      <c r="B27" s="2" t="str">
        <f>SUBSTITUTE(SUBSTITUTE(SUBSTITUTE(Table24810[Standard Attributes List]," ",""),".",""),"-","")</f>
        <v>ODMAX(IN)</v>
      </c>
      <c r="C27" s="3" t="s">
        <v>546</v>
      </c>
      <c r="D27" s="3" t="str">
        <f>SUBSTITUTE(SUBSTITUTE(SUBSTITUTE(LEFT(Table24810[[#This Row],[Reference]],FIND("=",Table24810[[#This Row],[Reference]])-2)," ",""),".",""),"-","")</f>
        <v>ODMAX(IN)</v>
      </c>
      <c r="E27" s="3" t="str">
        <f>TRIM(RIGHT(Table24810[[#This Row],[Reference]],LEN(Table24810[[#This Row],[Reference]])-FIND("=",Table24810[[#This Row],[Reference]])-1))</f>
        <v>8.445</v>
      </c>
      <c r="F27" s="3" t="str">
        <f>VLOOKUP(Table24810[[#This Row],[Column1]],D:E,2,FALSE)</f>
        <v>8.445</v>
      </c>
      <c r="G27" s="3"/>
      <c r="H27" s="4" t="str">
        <f>CONCATENATE(Table24810[[#This Row],[Standard Attributes List]]," = ",IF(Table24810[[#This Row],[Overwrite Value]]="",Table24810[[#This Row],[Ref. Value]],Table24810[[#This Row],[Overwrite Value]]))</f>
        <v>O.D. - MAX. (IN) = 8.445</v>
      </c>
      <c r="I27" t="str">
        <f>IF(Table24810[[#This Row],[Reference]]=Table24810[[#This Row],[Output]],"OK","NG")</f>
        <v>OK</v>
      </c>
      <c r="J27" s="2" t="str">
        <f>RIGHT(Table24810[[#This Row],[Output]],LEN(Table24810[[#This Row],[Output]])-FIND("=",Table24810[[#This Row],[Output]])-1)</f>
        <v>8.445</v>
      </c>
      <c r="K27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8" spans="1:11" ht="16" thickTop="1" thickBot="1">
      <c r="A28" s="7" t="s">
        <v>40</v>
      </c>
      <c r="B28" s="2" t="str">
        <f>SUBSTITUTE(SUBSTITUTE(SUBSTITUTE(Table24810[Standard Attributes List]," ",""),".",""),"-","")</f>
        <v>OPERATIONSMANUAL</v>
      </c>
      <c r="C28" s="3" t="s">
        <v>547</v>
      </c>
      <c r="D28" s="3" t="str">
        <f>SUBSTITUTE(SUBSTITUTE(SUBSTITUTE(LEFT(Table24810[[#This Row],[Reference]],FIND("=",Table24810[[#This Row],[Reference]])-2)," ",""),".",""),"-","")</f>
        <v>OPERATIONSMANUAL</v>
      </c>
      <c r="E28" s="3" t="str">
        <f>TRIM(RIGHT(Table24810[[#This Row],[Reference]],LEN(Table24810[[#This Row],[Reference]])-FIND("=",Table24810[[#This Row],[Reference]])-1))</f>
        <v>IT# 3311294</v>
      </c>
      <c r="F28" s="3" t="str">
        <f>VLOOKUP(Table24810[[#This Row],[Column1]],D:E,2,FALSE)</f>
        <v>IT# 3311294</v>
      </c>
      <c r="G28" s="3"/>
      <c r="H28" s="4" t="str">
        <f>CONCATENATE(Table24810[[#This Row],[Standard Attributes List]]," = ",IF(Table24810[[#This Row],[Overwrite Value]]="",Table24810[[#This Row],[Ref. Value]],Table24810[[#This Row],[Overwrite Value]]))</f>
        <v>OPERATIONS MANUAL = IT# 3311294</v>
      </c>
      <c r="I28" t="str">
        <f>IF(Table24810[[#This Row],[Reference]]=Table24810[[#This Row],[Output]],"OK","NG")</f>
        <v>OK</v>
      </c>
      <c r="J28" s="2" t="str">
        <f>RIGHT(Table24810[[#This Row],[Output]],LEN(Table24810[[#This Row],[Output]])-FIND("=",Table24810[[#This Row],[Output]])-1)</f>
        <v>IT# 3311294</v>
      </c>
      <c r="K28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9" spans="1:11" ht="16" thickTop="1" thickBot="1">
      <c r="A29" s="7" t="s">
        <v>10</v>
      </c>
      <c r="B29" s="2" t="str">
        <f>SUBSTITUTE(SUBSTITUTE(SUBSTITUTE(Table24810[Standard Attributes List]," ",""),".",""),"-","")</f>
        <v>OVERALLLENGTH(IN)</v>
      </c>
      <c r="C29" s="3" t="s">
        <v>548</v>
      </c>
      <c r="D29" s="3" t="str">
        <f>SUBSTITUTE(SUBSTITUTE(SUBSTITUTE(LEFT(Table24810[[#This Row],[Reference]],FIND("=",Table24810[[#This Row],[Reference]])-2)," ",""),".",""),"-","")</f>
        <v>OVERALLLENGTH(IN)</v>
      </c>
      <c r="E29" s="3" t="str">
        <f>TRIM(RIGHT(Table24810[[#This Row],[Reference]],LEN(Table24810[[#This Row],[Reference]])-FIND("=",Table24810[[#This Row],[Reference]])-1))</f>
        <v>79</v>
      </c>
      <c r="F29" s="3" t="str">
        <f>VLOOKUP(Table24810[[#This Row],[Column1]],D:E,2,FALSE)</f>
        <v>79</v>
      </c>
      <c r="G29" s="3"/>
      <c r="H29" s="4" t="str">
        <f>CONCATENATE(Table24810[[#This Row],[Standard Attributes List]]," = ",IF(Table24810[[#This Row],[Overwrite Value]]="",Table24810[[#This Row],[Ref. Value]],Table24810[[#This Row],[Overwrite Value]]))</f>
        <v>OVERALL LENGTH (IN) = 79</v>
      </c>
      <c r="I29" t="str">
        <f>IF(Table24810[[#This Row],[Reference]]=Table24810[[#This Row],[Output]],"OK","NG")</f>
        <v>OK</v>
      </c>
      <c r="J29" s="2" t="str">
        <f>RIGHT(Table24810[[#This Row],[Output]],LEN(Table24810[[#This Row],[Output]])-FIND("=",Table24810[[#This Row],[Output]])-1)</f>
        <v>79</v>
      </c>
      <c r="K29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0" spans="1:11" ht="16" thickTop="1" thickBot="1">
      <c r="A30" s="7" t="s">
        <v>26</v>
      </c>
      <c r="B30" s="2" t="str">
        <f>SUBSTITUTE(SUBSTITUTE(SUBSTITUTE(Table24810[Standard Attributes List]," ",""),".",""),"-","")</f>
        <v>PACKERENVELOPEPOINTSISOLATEDPRESSURE(PSI)</v>
      </c>
      <c r="C30" s="3" t="s">
        <v>549</v>
      </c>
      <c r="D30" s="3" t="str">
        <f>SUBSTITUTE(SUBSTITUTE(SUBSTITUTE(LEFT(Table24810[[#This Row],[Reference]],FIND("=",Table24810[[#This Row],[Reference]])-2)," ",""),".",""),"-","")</f>
        <v>PACKERENVELOPEPOINTSISOLATEDPRESSURE(PSI)</v>
      </c>
      <c r="E30" s="3" t="str">
        <f>TRIM(RIGHT(Table24810[[#This Row],[Reference]],LEN(Table24810[[#This Row],[Reference]])-FIND("=",Table24810[[#This Row],[Reference]])-1))</f>
        <v>N/A</v>
      </c>
      <c r="F30" s="3" t="str">
        <f>VLOOKUP(Table24810[[#This Row],[Column1]],D:E,2,FALSE)</f>
        <v>N/A</v>
      </c>
      <c r="G30" s="3"/>
      <c r="H30" s="4" t="str">
        <f>CONCATENATE(Table24810[[#This Row],[Standard Attributes List]]," = ",IF(Table24810[[#This Row],[Overwrite Value]]="",Table24810[[#This Row],[Ref. Value]],Table24810[[#This Row],[Overwrite Value]]))</f>
        <v>PACKER ENVELOPE POINTS ISOLATED - PRESSURE (PSI) = N/A</v>
      </c>
      <c r="I30" t="str">
        <f>IF(Table24810[[#This Row],[Reference]]=Table24810[[#This Row],[Output]],"OK","NG")</f>
        <v>OK</v>
      </c>
      <c r="J30" s="2" t="str">
        <f>RIGHT(Table24810[[#This Row],[Output]],LEN(Table24810[[#This Row],[Output]])-FIND("=",Table24810[[#This Row],[Output]])-1)</f>
        <v>N/A</v>
      </c>
      <c r="K30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1" spans="1:11" ht="16" thickTop="1" thickBot="1">
      <c r="A31" s="7" t="s">
        <v>25</v>
      </c>
      <c r="B31" s="2" t="str">
        <f>SUBSTITUTE(SUBSTITUTE(SUBSTITUTE(Table24810[Standard Attributes List]," ",""),".",""),"-","")</f>
        <v>PACKERENVELOPEPOINTSISOLATEDLOAD(LBS)</v>
      </c>
      <c r="C31" s="3" t="s">
        <v>550</v>
      </c>
      <c r="D31" s="3" t="str">
        <f>SUBSTITUTE(SUBSTITUTE(SUBSTITUTE(LEFT(Table24810[[#This Row],[Reference]],FIND("=",Table24810[[#This Row],[Reference]])-2)," ",""),".",""),"-","")</f>
        <v>PACKERENVELOPEPOINTSISOLATEDLOAD(LBS)</v>
      </c>
      <c r="E31" s="3" t="str">
        <f>TRIM(RIGHT(Table24810[[#This Row],[Reference]],LEN(Table24810[[#This Row],[Reference]])-FIND("=",Table24810[[#This Row],[Reference]])-1))</f>
        <v>N/A</v>
      </c>
      <c r="F31" s="3" t="str">
        <f>VLOOKUP(Table24810[[#This Row],[Column1]],D:E,2,FALSE)</f>
        <v>N/A</v>
      </c>
      <c r="G31" s="3"/>
      <c r="H31" s="4" t="str">
        <f>CONCATENATE(Table24810[[#This Row],[Standard Attributes List]]," = ",IF(Table24810[[#This Row],[Overwrite Value]]="",Table24810[[#This Row],[Ref. Value]],Table24810[[#This Row],[Overwrite Value]]))</f>
        <v>PACKER ENVELOPE POINTS ISOLATED - LOAD (LBS) = N/A</v>
      </c>
      <c r="I31" t="str">
        <f>IF(Table24810[[#This Row],[Reference]]=Table24810[[#This Row],[Output]],"OK","NG")</f>
        <v>OK</v>
      </c>
      <c r="J31" s="2" t="str">
        <f>RIGHT(Table24810[[#This Row],[Output]],LEN(Table24810[[#This Row],[Output]])-FIND("=",Table24810[[#This Row],[Output]])-1)</f>
        <v>N/A</v>
      </c>
      <c r="K31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2" spans="1:11" ht="16" thickTop="1" thickBot="1">
      <c r="A32" s="7" t="s">
        <v>28</v>
      </c>
      <c r="B32" s="2" t="str">
        <f>SUBSTITUTE(SUBSTITUTE(SUBSTITUTE(Table24810[Standard Attributes List]," ",""),".",""),"-","")</f>
        <v>PACKERENVELOPEPOINTSPLUGGEDBELOWPRESSURE(PSI)</v>
      </c>
      <c r="C32" s="3" t="s">
        <v>551</v>
      </c>
      <c r="D32" s="3" t="str">
        <f>SUBSTITUTE(SUBSTITUTE(SUBSTITUTE(LEFT(Table24810[[#This Row],[Reference]],FIND("=",Table24810[[#This Row],[Reference]])-2)," ",""),".",""),"-","")</f>
        <v>PACKERENVELOPEPOINTSPLUGGEDBELOWPRESSURE(PSI)</v>
      </c>
      <c r="E32" s="3" t="str">
        <f>TRIM(RIGHT(Table24810[[#This Row],[Reference]],LEN(Table24810[[#This Row],[Reference]])-FIND("=",Table24810[[#This Row],[Reference]])-1))</f>
        <v>N/A</v>
      </c>
      <c r="F32" s="3" t="str">
        <f>VLOOKUP(Table24810[[#This Row],[Column1]],D:E,2,FALSE)</f>
        <v>N/A</v>
      </c>
      <c r="G32" s="3"/>
      <c r="H32" s="4" t="str">
        <f>CONCATENATE(Table24810[[#This Row],[Standard Attributes List]]," = ",IF(Table24810[[#This Row],[Overwrite Value]]="",Table24810[[#This Row],[Ref. Value]],Table24810[[#This Row],[Overwrite Value]]))</f>
        <v>PACKER ENVELOPE POINTS PLUGGED - BELOW - PRESSURE (PSI) = N/A</v>
      </c>
      <c r="I32" t="str">
        <f>IF(Table24810[[#This Row],[Reference]]=Table24810[[#This Row],[Output]],"OK","NG")</f>
        <v>OK</v>
      </c>
      <c r="J32" s="2" t="str">
        <f>RIGHT(Table24810[[#This Row],[Output]],LEN(Table24810[[#This Row],[Output]])-FIND("=",Table24810[[#This Row],[Output]])-1)</f>
        <v>N/A</v>
      </c>
      <c r="K32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3" spans="1:14" ht="16" thickTop="1" thickBot="1">
      <c r="A33" s="7" t="s">
        <v>27</v>
      </c>
      <c r="B33" s="2" t="str">
        <f>SUBSTITUTE(SUBSTITUTE(SUBSTITUTE(Table24810[Standard Attributes List]," ",""),".",""),"-","")</f>
        <v>PACKERENVELOPEPOINTSPLUGGEDBELOWLOAD(LBS)</v>
      </c>
      <c r="C33" s="3" t="s">
        <v>552</v>
      </c>
      <c r="D33" s="3" t="str">
        <f>SUBSTITUTE(SUBSTITUTE(SUBSTITUTE(LEFT(Table24810[[#This Row],[Reference]],FIND("=",Table24810[[#This Row],[Reference]])-2)," ",""),".",""),"-","")</f>
        <v>PACKERENVELOPEPOINTSPLUGGEDBELOWLOAD(LBS)</v>
      </c>
      <c r="E33" s="3" t="str">
        <f>TRIM(RIGHT(Table24810[[#This Row],[Reference]],LEN(Table24810[[#This Row],[Reference]])-FIND("=",Table24810[[#This Row],[Reference]])-1))</f>
        <v>N/A</v>
      </c>
      <c r="F33" s="3" t="str">
        <f>VLOOKUP(Table24810[[#This Row],[Column1]],D:E,2,FALSE)</f>
        <v>N/A</v>
      </c>
      <c r="G33" s="3"/>
      <c r="H33" s="4" t="str">
        <f>CONCATENATE(Table24810[[#This Row],[Standard Attributes List]]," = ",IF(Table24810[[#This Row],[Overwrite Value]]="",Table24810[[#This Row],[Ref. Value]],Table24810[[#This Row],[Overwrite Value]]))</f>
        <v>PACKER ENVELOPE POINTS PLUGGED - BELOW - LOAD (LBS) = N/A</v>
      </c>
      <c r="I33" t="str">
        <f>IF(Table24810[[#This Row],[Reference]]=Table24810[[#This Row],[Output]],"OK","NG")</f>
        <v>OK</v>
      </c>
      <c r="J33" s="2" t="str">
        <f>RIGHT(Table24810[[#This Row],[Output]],LEN(Table24810[[#This Row],[Output]])-FIND("=",Table24810[[#This Row],[Output]])-1)</f>
        <v>N/A</v>
      </c>
      <c r="K33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4" spans="1:14" ht="16" thickTop="1" thickBot="1">
      <c r="A34" s="7" t="s">
        <v>30</v>
      </c>
      <c r="B34" s="2" t="str">
        <f>SUBSTITUTE(SUBSTITUTE(SUBSTITUTE(Table24810[Standard Attributes List]," ",""),".",""),"-","")</f>
        <v>PACKERENVELOPEPOINTSUNPLUGGEDPRESSURE(PSI)</v>
      </c>
      <c r="C34" s="3" t="s">
        <v>553</v>
      </c>
      <c r="D34" s="3" t="str">
        <f>SUBSTITUTE(SUBSTITUTE(SUBSTITUTE(LEFT(Table24810[[#This Row],[Reference]],FIND("=",Table24810[[#This Row],[Reference]])-2)," ",""),".",""),"-","")</f>
        <v>PACKERENVELOPEPOINTSUNPLUGGEDPRESSURE(PSI)</v>
      </c>
      <c r="E34" s="3" t="str">
        <f>TRIM(RIGHT(Table24810[[#This Row],[Reference]],LEN(Table24810[[#This Row],[Reference]])-FIND("=",Table24810[[#This Row],[Reference]])-1))</f>
        <v>N/A</v>
      </c>
      <c r="F34" s="3" t="str">
        <f>VLOOKUP(Table24810[[#This Row],[Column1]],D:E,2,FALSE)</f>
        <v>N/A</v>
      </c>
      <c r="G34" s="3"/>
      <c r="H34" s="4" t="str">
        <f>CONCATENATE(Table24810[[#This Row],[Standard Attributes List]]," = ",IF(Table24810[[#This Row],[Overwrite Value]]="",Table24810[[#This Row],[Ref. Value]],Table24810[[#This Row],[Overwrite Value]]))</f>
        <v>PACKER ENVELOPE POINTS UNPLUGGED - PRESSURE (PSI) = N/A</v>
      </c>
      <c r="I34" t="str">
        <f>IF(Table24810[[#This Row],[Reference]]=Table24810[[#This Row],[Output]],"OK","NG")</f>
        <v>OK</v>
      </c>
      <c r="J34" s="2" t="str">
        <f>RIGHT(Table24810[[#This Row],[Output]],LEN(Table24810[[#This Row],[Output]])-FIND("=",Table24810[[#This Row],[Output]])-1)</f>
        <v>N/A</v>
      </c>
      <c r="K34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5" spans="1:14" ht="16" thickTop="1" thickBot="1">
      <c r="A35" s="7" t="s">
        <v>530</v>
      </c>
      <c r="B35" s="2" t="str">
        <f>SUBSTITUTE(SUBSTITUTE(SUBSTITUTE(Table24810[Standard Attributes List]," ",""),".",""),"-","")</f>
        <v>PACKERENVELOPEPOINTSUNPLUGGEDLOAD(LBS)</v>
      </c>
      <c r="C35" s="3" t="s">
        <v>554</v>
      </c>
      <c r="D35" s="3" t="str">
        <f>SUBSTITUTE(SUBSTITUTE(SUBSTITUTE(LEFT(Table24810[[#This Row],[Reference]],FIND("=",Table24810[[#This Row],[Reference]])-2)," ",""),".",""),"-","")</f>
        <v>PACKERENVELOPEPOINTSUNPLUGGEDLOAD(LBS)</v>
      </c>
      <c r="E35" s="3" t="str">
        <f>TRIM(RIGHT(Table24810[[#This Row],[Reference]],LEN(Table24810[[#This Row],[Reference]])-FIND("=",Table24810[[#This Row],[Reference]])-1))</f>
        <v>N/A</v>
      </c>
      <c r="F35" s="3" t="str">
        <f>VLOOKUP(Table24810[[#This Row],[Column1]],D:E,2,FALSE)</f>
        <v>N/A</v>
      </c>
      <c r="G35" s="3"/>
      <c r="H35" s="4" t="str">
        <f>CONCATENATE(Table24810[[#This Row],[Standard Attributes List]]," = ",IF(Table24810[[#This Row],[Overwrite Value]]="",Table24810[[#This Row],[Ref. Value]],Table24810[[#This Row],[Overwrite Value]]))</f>
        <v>PACKER ENVELOPE POINTS UNPLUGGED - LOAD (LBS)  = N/A</v>
      </c>
      <c r="I35" t="str">
        <f>IF(Table24810[[#This Row],[Reference]]=Table24810[[#This Row],[Output]],"OK","NG")</f>
        <v>NG</v>
      </c>
      <c r="J35" s="2" t="str">
        <f>RIGHT(Table24810[[#This Row],[Output]],LEN(Table24810[[#This Row],[Output]])-FIND("=",Table24810[[#This Row],[Output]])-1)</f>
        <v>N/A</v>
      </c>
      <c r="K35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6" spans="1:14" ht="16" thickTop="1" thickBot="1">
      <c r="A36" s="7" t="s">
        <v>41</v>
      </c>
      <c r="B36" s="2" t="str">
        <f>SUBSTITUTE(SUBSTITUTE(SUBSTITUTE(Table24810[Standard Attributes List]," ",""),".",""),"-","")</f>
        <v>QUALITYCONTROLGRADE</v>
      </c>
      <c r="C36" s="3" t="s">
        <v>60</v>
      </c>
      <c r="D36" s="3" t="str">
        <f>SUBSTITUTE(SUBSTITUTE(SUBSTITUTE(LEFT(Table24810[[#This Row],[Reference]],FIND("=",Table24810[[#This Row],[Reference]])-2)," ",""),".",""),"-","")</f>
        <v>QUALITYCONTROLGRADE</v>
      </c>
      <c r="E36" s="3" t="str">
        <f>TRIM(RIGHT(Table24810[[#This Row],[Reference]],LEN(Table24810[[#This Row],[Reference]])-FIND("=",Table24810[[#This Row],[Reference]])-1))</f>
        <v>Q3</v>
      </c>
      <c r="F36" s="3" t="str">
        <f>VLOOKUP(Table24810[[#This Row],[Column1]],D:E,2,FALSE)</f>
        <v>Q3</v>
      </c>
      <c r="G36" s="3"/>
      <c r="H36" s="4" t="str">
        <f>CONCATENATE(Table24810[[#This Row],[Standard Attributes List]]," = ",IF(Table24810[[#This Row],[Overwrite Value]]="",Table24810[[#This Row],[Ref. Value]],Table24810[[#This Row],[Overwrite Value]]))</f>
        <v>QUALITY CONTROL GRADE = Q3</v>
      </c>
      <c r="I36" t="str">
        <f>IF(Table24810[[#This Row],[Reference]]=Table24810[[#This Row],[Output]],"OK","NG")</f>
        <v>OK</v>
      </c>
      <c r="J36" s="2" t="str">
        <f>RIGHT(Table24810[[#This Row],[Output]],LEN(Table24810[[#This Row],[Output]])-FIND("=",Table24810[[#This Row],[Output]])-1)</f>
        <v>Q3</v>
      </c>
      <c r="K36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7" spans="1:14" ht="16" thickTop="1" thickBot="1">
      <c r="A37" s="7" t="s">
        <v>11</v>
      </c>
      <c r="B37" s="2" t="str">
        <f>SUBSTITUTE(SUBSTITUTE(SUBSTITUTE(Table24810[Standard Attributes List]," ",""),".",""),"-","")</f>
        <v>QUALITYCONTROLPLANQCP</v>
      </c>
      <c r="C37" s="3" t="s">
        <v>55</v>
      </c>
      <c r="D37" s="3" t="str">
        <f>SUBSTITUTE(SUBSTITUTE(SUBSTITUTE(LEFT(Table24810[[#This Row],[Reference]],FIND("=",Table24810[[#This Row],[Reference]])-2)," ",""),".",""),"-","")</f>
        <v>QUALITYCONTROLPLANQCP</v>
      </c>
      <c r="E37" s="3" t="str">
        <f>TRIM(RIGHT(Table24810[[#This Row],[Reference]],LEN(Table24810[[#This Row],[Reference]])-FIND("=",Table24810[[#This Row],[Reference]])-1))</f>
        <v>STD SLB</v>
      </c>
      <c r="F37" s="3" t="str">
        <f>VLOOKUP(Table24810[[#This Row],[Column1]],D:E,2,FALSE)</f>
        <v>STD SLB</v>
      </c>
      <c r="G37" s="3"/>
      <c r="H37" s="4" t="str">
        <f>CONCATENATE(Table24810[[#This Row],[Standard Attributes List]]," = ",IF(Table24810[[#This Row],[Overwrite Value]]="",Table24810[[#This Row],[Ref. Value]],Table24810[[#This Row],[Overwrite Value]]))</f>
        <v>QUALITY CONTROL PLAN - QCP = STD SLB</v>
      </c>
      <c r="I37" t="str">
        <f>IF(Table24810[[#This Row],[Reference]]=Table24810[[#This Row],[Output]],"OK","NG")</f>
        <v>OK</v>
      </c>
      <c r="J37" s="2" t="str">
        <f>RIGHT(Table24810[[#This Row],[Output]],LEN(Table24810[[#This Row],[Output]])-FIND("=",Table24810[[#This Row],[Output]])-1)</f>
        <v>STD SLB</v>
      </c>
      <c r="K37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8" spans="1:14" ht="16" thickTop="1" thickBot="1">
      <c r="A38" s="7" t="s">
        <v>42</v>
      </c>
      <c r="B38" s="2" t="str">
        <f>SUBSTITUTE(SUBSTITUTE(SUBSTITUTE(Table24810[Standard Attributes List]," ",""),".",""),"-","")</f>
        <v>RETRIEVALMETHOD</v>
      </c>
      <c r="C38" s="3" t="s">
        <v>555</v>
      </c>
      <c r="D38" s="3" t="str">
        <f>SUBSTITUTE(SUBSTITUTE(SUBSTITUTE(LEFT(Table24810[[#This Row],[Reference]],FIND("=",Table24810[[#This Row],[Reference]])-2)," ",""),".",""),"-","")</f>
        <v>RETRIEVALMETHOD</v>
      </c>
      <c r="E38" s="3" t="str">
        <f>TRIM(RIGHT(Table24810[[#This Row],[Reference]],LEN(Table24810[[#This Row],[Reference]])-FIND("=",Table24810[[#This Row],[Reference]])-1))</f>
        <v>SHIFT-TO-RELEASE</v>
      </c>
      <c r="F38" s="3" t="str">
        <f>VLOOKUP(Table24810[[#This Row],[Column1]],D:E,2,FALSE)</f>
        <v>SHIFT-TO-RELEASE</v>
      </c>
      <c r="G38" s="3"/>
      <c r="H38" s="4" t="str">
        <f>CONCATENATE(Table24810[[#This Row],[Standard Attributes List]]," = ",IF(Table24810[[#This Row],[Overwrite Value]]="",Table24810[[#This Row],[Ref. Value]],Table24810[[#This Row],[Overwrite Value]]))</f>
        <v>RETRIEVAL METHOD = SHIFT-TO-RELEASE</v>
      </c>
      <c r="I38" t="str">
        <f>IF(Table24810[[#This Row],[Reference]]=Table24810[[#This Row],[Output]],"OK","NG")</f>
        <v>NG</v>
      </c>
      <c r="J38" s="2" t="str">
        <f>RIGHT(Table24810[[#This Row],[Output]],LEN(Table24810[[#This Row],[Output]])-FIND("=",Table24810[[#This Row],[Output]])-1)</f>
        <v>SHIFT-TO-RELEASE</v>
      </c>
      <c r="K38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9" spans="1:14" ht="16" thickTop="1" thickBot="1">
      <c r="A39" s="7" t="s">
        <v>31</v>
      </c>
      <c r="B39" s="2" t="str">
        <f>SUBSTITUTE(SUBSTITUTE(SUBSTITUTE(Table24810[Standard Attributes List]," ",""),".",""),"-","")</f>
        <v>SEALDIAMETER(IN)</v>
      </c>
      <c r="C39" s="3" t="s">
        <v>556</v>
      </c>
      <c r="D39" s="3" t="str">
        <f>SUBSTITUTE(SUBSTITUTE(SUBSTITUTE(LEFT(Table24810[[#This Row],[Reference]],FIND("=",Table24810[[#This Row],[Reference]])-2)," ",""),".",""),"-","")</f>
        <v>SEALDIAMETER(IN)</v>
      </c>
      <c r="E39" s="3" t="str">
        <f>TRIM(RIGHT(Table24810[[#This Row],[Reference]],LEN(Table24810[[#This Row],[Reference]])-FIND("=",Table24810[[#This Row],[Reference]])-1))</f>
        <v>4.750</v>
      </c>
      <c r="F39" s="3" t="str">
        <f>VLOOKUP(Table24810[[#This Row],[Column1]],D:E,2,FALSE)</f>
        <v>4.750</v>
      </c>
      <c r="G39" s="3"/>
      <c r="H39" s="4" t="str">
        <f>CONCATENATE(Table24810[[#This Row],[Standard Attributes List]]," = ",IF(Table24810[[#This Row],[Overwrite Value]]="",Table24810[[#This Row],[Ref. Value]],Table24810[[#This Row],[Overwrite Value]]))</f>
        <v>SEAL DIAMETER (IN) = 4.750</v>
      </c>
      <c r="I39" t="str">
        <f>IF(Table24810[[#This Row],[Reference]]=Table24810[[#This Row],[Output]],"OK","NG")</f>
        <v>OK</v>
      </c>
      <c r="J39" s="2" t="str">
        <f>RIGHT(Table24810[[#This Row],[Output]],LEN(Table24810[[#This Row],[Output]])-FIND("=",Table24810[[#This Row],[Output]])-1)</f>
        <v>4.750</v>
      </c>
      <c r="K39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40" spans="1:14" ht="16" thickTop="1" thickBot="1">
      <c r="A40" s="7" t="s">
        <v>12</v>
      </c>
      <c r="B40" s="2" t="str">
        <f>SUBSTITUTE(SUBSTITUTE(SUBSTITUTE(Table24810[Standard Attributes List]," ",""),".",""),"-","")</f>
        <v>SERVICENACE(YES/NO)</v>
      </c>
      <c r="C40" s="3" t="s">
        <v>49</v>
      </c>
      <c r="D40" s="3" t="str">
        <f>SUBSTITUTE(SUBSTITUTE(SUBSTITUTE(LEFT(Table24810[[#This Row],[Reference]],FIND("=",Table24810[[#This Row],[Reference]])-2)," ",""),".",""),"-","")</f>
        <v>SERVICENACE(YES/NO)</v>
      </c>
      <c r="E40" s="3" t="str">
        <f>TRIM(RIGHT(Table24810[[#This Row],[Reference]],LEN(Table24810[[#This Row],[Reference]])-FIND("=",Table24810[[#This Row],[Reference]])-1))</f>
        <v>YES</v>
      </c>
      <c r="F40" s="3" t="str">
        <f>VLOOKUP(Table24810[[#This Row],[Column1]],D:E,2,FALSE)</f>
        <v>YES</v>
      </c>
      <c r="G40" s="3"/>
      <c r="H40" s="4" t="str">
        <f>CONCATENATE(Table24810[[#This Row],[Standard Attributes List]]," = ",IF(Table24810[[#This Row],[Overwrite Value]]="",Table24810[[#This Row],[Ref. Value]],Table24810[[#This Row],[Overwrite Value]]))</f>
        <v>SERVICE NACE (YES/NO) = YES</v>
      </c>
      <c r="I40" t="str">
        <f>IF(Table24810[[#This Row],[Reference]]=Table24810[[#This Row],[Output]],"OK","NG")</f>
        <v>OK</v>
      </c>
      <c r="J40" s="2" t="str">
        <f>RIGHT(Table24810[[#This Row],[Output]],LEN(Table24810[[#This Row],[Output]])-FIND("=",Table24810[[#This Row],[Output]])-1)</f>
        <v>YES</v>
      </c>
      <c r="K40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0" s="11"/>
      <c r="N40" s="11"/>
    </row>
    <row r="41" spans="1:14" ht="16" thickTop="1" thickBot="1">
      <c r="A41" s="7" t="s">
        <v>32</v>
      </c>
      <c r="B41" s="2" t="str">
        <f>SUBSTITUTE(SUBSTITUTE(SUBSTITUTE(Table24810[Standard Attributes List]," ",""),".",""),"-","")</f>
        <v>SETTINGDIFFERENTIALPRESSURERECOMMENDED(MIN)(PSI)</v>
      </c>
      <c r="C41" s="3" t="s">
        <v>557</v>
      </c>
      <c r="D41" s="3" t="str">
        <f>SUBSTITUTE(SUBSTITUTE(SUBSTITUTE(LEFT(Table24810[[#This Row],[Reference]],FIND("=",Table24810[[#This Row],[Reference]])-2)," ",""),".",""),"-","")</f>
        <v>SETTINGDIFFERENTIALPRESSURERECOMMENDED(MIN)(PSI)</v>
      </c>
      <c r="E41" s="3" t="str">
        <f>TRIM(RIGHT(Table24810[[#This Row],[Reference]],LEN(Table24810[[#This Row],[Reference]])-FIND("=",Table24810[[#This Row],[Reference]])-1))</f>
        <v>3300</v>
      </c>
      <c r="F41" s="3" t="str">
        <f>VLOOKUP(Table24810[[#This Row],[Column1]],D:E,2,FALSE)</f>
        <v>3300</v>
      </c>
      <c r="G41" s="3"/>
      <c r="H41" s="4" t="str">
        <f>CONCATENATE(Table24810[[#This Row],[Standard Attributes List]]," = ",IF(Table24810[[#This Row],[Overwrite Value]]="",Table24810[[#This Row],[Ref. Value]],Table24810[[#This Row],[Overwrite Value]]))</f>
        <v>SETTING DIFFERENTIAL PRESSURE - RECOMMENDED (MIN)(PSI) = 3300</v>
      </c>
      <c r="I41" t="str">
        <f>IF(Table24810[[#This Row],[Reference]]=Table24810[[#This Row],[Output]],"OK","NG")</f>
        <v>OK</v>
      </c>
      <c r="J41" s="2" t="str">
        <f>RIGHT(Table24810[[#This Row],[Output]],LEN(Table24810[[#This Row],[Output]])-FIND("=",Table24810[[#This Row],[Output]])-1)</f>
        <v>3300</v>
      </c>
      <c r="K41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1" s="11"/>
      <c r="N41" s="11"/>
    </row>
    <row r="42" spans="1:14" ht="16" thickTop="1" thickBot="1">
      <c r="A42" s="7" t="s">
        <v>43</v>
      </c>
      <c r="B42" s="2" t="str">
        <f>SUBSTITUTE(SUBSTITUTE(SUBSTITUTE(Table24810[Standard Attributes List]," ",""),".",""),"-","")</f>
        <v>SETTINGMETHOD</v>
      </c>
      <c r="C42" s="3" t="s">
        <v>99</v>
      </c>
      <c r="D42" s="3" t="str">
        <f>SUBSTITUTE(SUBSTITUTE(SUBSTITUTE(LEFT(Table24810[[#This Row],[Reference]],FIND("=",Table24810[[#This Row],[Reference]])-2)," ",""),".",""),"-","")</f>
        <v>SETTINGMETHOD</v>
      </c>
      <c r="E42" s="3" t="str">
        <f>TRIM(RIGHT(Table24810[[#This Row],[Reference]],LEN(Table24810[[#This Row],[Reference]])-FIND("=",Table24810[[#This Row],[Reference]])-1))</f>
        <v>HYDRAULIC</v>
      </c>
      <c r="F42" s="3" t="str">
        <f>VLOOKUP(Table24810[[#This Row],[Column1]],D:E,2,FALSE)</f>
        <v>HYDRAULIC</v>
      </c>
      <c r="G42" s="3"/>
      <c r="H42" s="4" t="str">
        <f>CONCATENATE(Table24810[[#This Row],[Standard Attributes List]]," = ",IF(Table24810[[#This Row],[Overwrite Value]]="",Table24810[[#This Row],[Ref. Value]],Table24810[[#This Row],[Overwrite Value]]))</f>
        <v>SETTING METHOD = HYDRAULIC</v>
      </c>
      <c r="I42" t="str">
        <f>IF(Table24810[[#This Row],[Reference]]=Table24810[[#This Row],[Output]],"OK","NG")</f>
        <v>OK</v>
      </c>
      <c r="J42" s="2" t="str">
        <f>RIGHT(Table24810[[#This Row],[Output]],LEN(Table24810[[#This Row],[Output]])-FIND("=",Table24810[[#This Row],[Output]])-1)</f>
        <v>HYDRAULIC</v>
      </c>
      <c r="K42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2" s="11"/>
      <c r="N42" s="11"/>
    </row>
    <row r="43" spans="1:14" ht="16" thickTop="1" thickBot="1">
      <c r="A43" s="7" t="s">
        <v>224</v>
      </c>
      <c r="B43" s="2" t="str">
        <f>SUBSTITUTE(SUBSTITUTE(SUBSTITUTE(Table24810[Standard Attributes List]," ",""),".",""),"-","")</f>
        <v>SHEARRELEASEFORCE(LB)</v>
      </c>
      <c r="C43" s="3" t="s">
        <v>225</v>
      </c>
      <c r="D43" s="3" t="str">
        <f>SUBSTITUTE(SUBSTITUTE(SUBSTITUTE(LEFT(Table24810[[#This Row],[Reference]],FIND("=",Table24810[[#This Row],[Reference]])-2)," ",""),".",""),"-","")</f>
        <v>SHEARRELEASEFORCE(LB)</v>
      </c>
      <c r="E43" s="3" t="str">
        <f>TRIM(RIGHT(Table24810[[#This Row],[Reference]],LEN(Table24810[[#This Row],[Reference]])-FIND("=",Table24810[[#This Row],[Reference]])-1))</f>
        <v>14000</v>
      </c>
      <c r="F43" s="3" t="str">
        <f>VLOOKUP(Table24810[[#This Row],[Column1]],D:E,2,FALSE)</f>
        <v>14000</v>
      </c>
      <c r="G43" s="3"/>
      <c r="H43" s="4" t="str">
        <f>CONCATENATE(Table24810[[#This Row],[Standard Attributes List]]," = ",IF(Table24810[[#This Row],[Overwrite Value]]="",Table24810[[#This Row],[Ref. Value]],Table24810[[#This Row],[Overwrite Value]]))</f>
        <v>SHEAR RELEASE FORCE (LB) = 14000</v>
      </c>
      <c r="I43" t="str">
        <f>IF(Table24810[[#This Row],[Reference]]=Table24810[[#This Row],[Output]],"OK","NG")</f>
        <v>OK</v>
      </c>
      <c r="J43" s="2" t="str">
        <f>RIGHT(Table24810[[#This Row],[Output]],LEN(Table24810[[#This Row],[Output]])-FIND("=",Table24810[[#This Row],[Output]])-1)</f>
        <v>14000</v>
      </c>
      <c r="K43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3" s="11"/>
      <c r="N43" s="11"/>
    </row>
    <row r="44" spans="1:14" ht="16" thickTop="1" thickBot="1">
      <c r="A44" s="7" t="s">
        <v>13</v>
      </c>
      <c r="B44" s="2" t="str">
        <f>SUBSTITUTE(SUBSTITUTE(SUBSTITUTE(Table24810[Standard Attributes List]," ",""),".",""),"-","")</f>
        <v>TENSILESTRENGTH(LBS)EOECATSPECIFIEDTEMP(F)</v>
      </c>
      <c r="C44" s="3" t="s">
        <v>558</v>
      </c>
      <c r="D44" s="3" t="str">
        <f>SUBSTITUTE(SUBSTITUTE(SUBSTITUTE(LEFT(Table24810[[#This Row],[Reference]],FIND("=",Table24810[[#This Row],[Reference]])-2)," ",""),".",""),"-","")</f>
        <v>TENSILESTRENGTH(LBS)EOECATSPECIFIEDTEMP(F)</v>
      </c>
      <c r="E44" s="3" t="str">
        <f>TRIM(RIGHT(Table24810[[#This Row],[Reference]],LEN(Table24810[[#This Row],[Reference]])-FIND("=",Table24810[[#This Row],[Reference]])-1))</f>
        <v>200000[250]</v>
      </c>
      <c r="F44" s="3" t="str">
        <f>VLOOKUP(Table24810[[#This Row],[Column1]],D:E,2,FALSE)</f>
        <v>200000[250]</v>
      </c>
      <c r="G44" s="3"/>
      <c r="H44" s="4" t="str">
        <f>CONCATENATE(Table24810[[#This Row],[Standard Attributes List]]," = ",IF(Table24810[[#This Row],[Overwrite Value]]="",Table24810[[#This Row],[Ref. Value]],Table24810[[#This Row],[Overwrite Value]]))</f>
        <v>TENSILE STRENGTH (LBS) - EOEC AT SPECIFIED TEMP (F) = 200000[250]</v>
      </c>
      <c r="I44" t="str">
        <f>IF(Table24810[[#This Row],[Reference]]=Table24810[[#This Row],[Output]],"OK","NG")</f>
        <v>OK</v>
      </c>
      <c r="J44" s="2" t="str">
        <f>RIGHT(Table24810[[#This Row],[Output]],LEN(Table24810[[#This Row],[Output]])-FIND("=",Table24810[[#This Row],[Output]])-1)</f>
        <v>200000[250]</v>
      </c>
      <c r="K44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4" s="11"/>
      <c r="N44" s="11"/>
    </row>
    <row r="45" spans="1:14" ht="16" thickTop="1" thickBot="1">
      <c r="A45" s="7" t="s">
        <v>44</v>
      </c>
      <c r="B45" s="2" t="str">
        <f>SUBSTITUTE(SUBSTITUTE(SUBSTITUTE(Table24810[Standard Attributes List]," ",""),".",""),"-","")</f>
        <v>TORQUECAPACITYEOEC(FTLBS)</v>
      </c>
      <c r="C45" s="3" t="s">
        <v>509</v>
      </c>
      <c r="D45" s="3" t="str">
        <f>SUBSTITUTE(SUBSTITUTE(SUBSTITUTE(LEFT(Table24810[[#This Row],[Reference]],FIND("=",Table24810[[#This Row],[Reference]])-2)," ",""),".",""),"-","")</f>
        <v>TORQUECAPACITYEOEC(FTLBS)</v>
      </c>
      <c r="E45" s="3" t="str">
        <f>TRIM(RIGHT(Table24810[[#This Row],[Reference]],LEN(Table24810[[#This Row],[Reference]])-FIND("=",Table24810[[#This Row],[Reference]])-1))</f>
        <v>N/A</v>
      </c>
      <c r="F45" s="3" t="str">
        <f>VLOOKUP(Table24810[[#This Row],[Column1]],D:E,2,FALSE)</f>
        <v>N/A</v>
      </c>
      <c r="G45" s="3"/>
      <c r="H45" s="4" t="str">
        <f>CONCATENATE(Table24810[[#This Row],[Standard Attributes List]]," = ",IF(Table24810[[#This Row],[Overwrite Value]]="",Table24810[[#This Row],[Ref. Value]],Table24810[[#This Row],[Overwrite Value]]))</f>
        <v>TORQUE CAPACITY - EOEC (FT-LBS) = N/A</v>
      </c>
      <c r="I45" t="str">
        <f>IF(Table24810[[#This Row],[Reference]]=Table24810[[#This Row],[Output]],"OK","NG")</f>
        <v>OK</v>
      </c>
      <c r="J45" s="2" t="str">
        <f>RIGHT(Table24810[[#This Row],[Output]],LEN(Table24810[[#This Row],[Output]])-FIND("=",Table24810[[#This Row],[Output]])-1)</f>
        <v>N/A</v>
      </c>
      <c r="K45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5" s="11"/>
      <c r="N45" s="11"/>
    </row>
    <row r="46" spans="1:14" ht="16" thickTop="1" thickBot="1">
      <c r="A46" s="7" t="s">
        <v>14</v>
      </c>
      <c r="B46" s="2" t="str">
        <f>SUBSTITUTE(SUBSTITUTE(SUBSTITUTE(Table24810[Standard Attributes List]," ",""),".",""),"-","")</f>
        <v>UPPERTHREADCONNECTINGSIZE(IN),WT(PPF),TYPE,CONFIG</v>
      </c>
      <c r="C46" s="3" t="s">
        <v>559</v>
      </c>
      <c r="D46" s="3" t="str">
        <f>SUBSTITUTE(SUBSTITUTE(SUBSTITUTE(LEFT(Table24810[[#This Row],[Reference]],FIND("=",Table24810[[#This Row],[Reference]])-2)," ",""),".",""),"-","")</f>
        <v>UPPERTHREADCONNECTINGSIZE(IN),WT(PPF),TYPE,CONFIG</v>
      </c>
      <c r="E46" s="3" t="str">
        <f>TRIM(RIGHT(Table24810[[#This Row],[Reference]],LEN(Table24810[[#This Row],[Reference]])-FIND("=",Table24810[[#This Row],[Reference]])-1))</f>
        <v>5.250, 4, LEFT HAND SQUARE, BOX</v>
      </c>
      <c r="F46" s="3" t="str">
        <f>VLOOKUP(Table24810[[#This Row],[Column1]],D:E,2,FALSE)</f>
        <v>5.250, 4, LEFT HAND SQUARE, BOX</v>
      </c>
      <c r="G46" s="3"/>
      <c r="H46" s="4" t="str">
        <f>CONCATENATE(Table24810[[#This Row],[Standard Attributes List]]," = ",IF(Table24810[[#This Row],[Overwrite Value]]="",Table24810[[#This Row],[Ref. Value]],Table24810[[#This Row],[Overwrite Value]]))</f>
        <v>UPPER THREAD CONNECTING - SIZE (IN), WT (PPF), TYPE, CONFIG = 5.250, 4, LEFT HAND SQUARE, BOX</v>
      </c>
      <c r="I46" t="str">
        <f>IF(Table24810[[#This Row],[Reference]]=Table24810[[#This Row],[Output]],"OK","NG")</f>
        <v>OK</v>
      </c>
      <c r="J46" s="2" t="str">
        <f>RIGHT(Table24810[[#This Row],[Output]],LEN(Table24810[[#This Row],[Output]])-FIND("=",Table24810[[#This Row],[Output]])-1)</f>
        <v>5.250, 4, LEFT HAND SQUARE, BOX</v>
      </c>
      <c r="K46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6" s="11"/>
      <c r="N46" s="11"/>
    </row>
    <row r="47" spans="1:14" ht="15" thickTop="1"/>
  </sheetData>
  <phoneticPr fontId="27" type="noConversion"/>
  <conditionalFormatting sqref="H2:H46">
    <cfRule type="expression" dxfId="17" priority="4">
      <formula>ISERROR($H2)</formula>
    </cfRule>
  </conditionalFormatting>
  <conditionalFormatting sqref="H47:I56">
    <cfRule type="expression" dxfId="16" priority="3">
      <formula>ISERROR($H47)</formula>
    </cfRule>
  </conditionalFormatting>
  <conditionalFormatting sqref="I2:I46">
    <cfRule type="expression" dxfId="15" priority="2">
      <formula>$I2="OK"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N52"/>
  <sheetViews>
    <sheetView zoomScale="70" zoomScaleNormal="70" workbookViewId="0">
      <selection activeCell="B11" sqref="B11"/>
    </sheetView>
  </sheetViews>
  <sheetFormatPr baseColWidth="10" defaultColWidth="8.83203125" defaultRowHeight="14"/>
  <cols>
    <col min="1" max="1" width="62.83203125" customWidth="1"/>
    <col min="2" max="2" width="58.1640625" hidden="1" customWidth="1"/>
    <col min="3" max="3" width="27" customWidth="1"/>
    <col min="4" max="4" width="86.33203125" hidden="1" customWidth="1"/>
    <col min="5" max="5" width="36.6640625" hidden="1" customWidth="1"/>
    <col min="6" max="6" width="32.1640625" customWidth="1"/>
    <col min="7" max="7" width="25.33203125" bestFit="1" customWidth="1"/>
    <col min="8" max="8" width="85.1640625" bestFit="1" customWidth="1"/>
    <col min="9" max="9" width="23" customWidth="1"/>
    <col min="10" max="10" width="26.5" bestFit="1" customWidth="1"/>
    <col min="14" max="14" width="11" customWidth="1"/>
  </cols>
  <sheetData>
    <row r="1" spans="1:11" ht="15" thickBot="1">
      <c r="A1" s="5" t="s">
        <v>34</v>
      </c>
      <c r="B1" s="1" t="s">
        <v>54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6" thickTop="1" thickBot="1">
      <c r="A2" s="7" t="s">
        <v>0</v>
      </c>
      <c r="B2" s="2" t="str">
        <f>SUBSTITUTE(SUBSTITUTE(SUBSTITUTE(Table248[[#This Row],[Standard Attributes List]]," ",""),".",""),"-","")</f>
        <v>ACTIVEFLOWWETTEDMATERIALYIELDSTRENGTH(KSI)</v>
      </c>
      <c r="C2" s="3" t="s">
        <v>64</v>
      </c>
      <c r="D2" s="3" t="str">
        <f>SUBSTITUTE(SUBSTITUTE(SUBSTITUTE(LEFT(Table248[[#This Row],[Reference]],FIND("=",Table248[[#This Row],[Reference]])-2)," ",""),".",""),"-","")</f>
        <v>ACTIVEFLOWWETTEDMATERIALYIELDSTRENGTH(KSI)</v>
      </c>
      <c r="E2" s="3" t="str">
        <f>TRIM(RIGHT(Table248[[#This Row],[Reference]],LEN(Table248[[#This Row],[Reference]])-FIND("=",Table248[[#This Row],[Reference]])-1))</f>
        <v>13CR[80]</v>
      </c>
      <c r="F2" s="3" t="str">
        <f>VLOOKUP(Table248[[#This Row],[Column1]],D:E,2,FALSE)</f>
        <v>13CR[80]</v>
      </c>
      <c r="G2" s="3"/>
      <c r="H2" s="4" t="str">
        <f>CONCATENATE(Table248[[#This Row],[Standard Attributes List]]," = ",IF(Table248[[#This Row],[Overwrite Value]]="",Table248[[#This Row],[Ref. Value]],Table248[[#This Row],[Overwrite Value]]))</f>
        <v>ACTIVE FLOW WETTED MATERIAL - YIELD STRENGTH (KSI) = 13CR[80]</v>
      </c>
      <c r="I2" t="str">
        <f>IF(Table248[[#This Row],[Reference]]=Table248[[#This Row],[Output]],"OK","NG")</f>
        <v>OK</v>
      </c>
      <c r="J2" s="2" t="str">
        <f>RIGHT(Table248[[#This Row],[Output]],LEN(Table248[[#This Row],[Output]])-FIND("=",Table248[[#This Row],[Output]])-1)</f>
        <v>13CR[80]</v>
      </c>
      <c r="K2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" spans="1:11" ht="16" thickTop="1" thickBot="1">
      <c r="A3" s="7" t="s">
        <v>1</v>
      </c>
      <c r="B3" s="2" t="str">
        <f>SUBSTITUTE(SUBSTITUTE(SUBSTITUTE(Table248[[#This Row],[Standard Attributes List]]," ",""),".",""),"-","")</f>
        <v>APPROXIMATEWEIGHT(LBS)</v>
      </c>
      <c r="C3" s="3" t="s">
        <v>430</v>
      </c>
      <c r="D3" s="3" t="str">
        <f>SUBSTITUTE(SUBSTITUTE(SUBSTITUTE(LEFT(Table248[[#This Row],[Reference]],FIND("=",Table248[[#This Row],[Reference]])-2)," ",""),".",""),"-","")</f>
        <v>APPROXIMATEWEIGHT(LBS)</v>
      </c>
      <c r="E3" s="3" t="str">
        <f>TRIM(RIGHT(Table248[[#This Row],[Reference]],LEN(Table248[[#This Row],[Reference]])-FIND("=",Table248[[#This Row],[Reference]])-1))</f>
        <v>203</v>
      </c>
      <c r="F3" s="3" t="str">
        <f>VLOOKUP(Table248[[#This Row],[Column1]],D:E,2,FALSE)</f>
        <v>203</v>
      </c>
      <c r="G3" s="3"/>
      <c r="H3" s="4" t="str">
        <f>CONCATENATE(Table248[[#This Row],[Standard Attributes List]]," = ",IF(Table248[[#This Row],[Overwrite Value]]="",Table248[[#This Row],[Ref. Value]],Table248[[#This Row],[Overwrite Value]]))</f>
        <v>APPROXIMATE WEIGHT (LBS) = 203</v>
      </c>
      <c r="I3" t="str">
        <f>IF(Table248[[#This Row],[Reference]]=Table248[[#This Row],[Output]],"OK","NG")</f>
        <v>OK</v>
      </c>
      <c r="J3" s="2" t="str">
        <f>RIGHT(Table248[[#This Row],[Output]],LEN(Table248[[#This Row],[Output]])-FIND("=",Table248[[#This Row],[Output]])-1)</f>
        <v>203</v>
      </c>
      <c r="K3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4" spans="1:11" ht="16" thickTop="1" thickBot="1">
      <c r="A4" s="7" t="s">
        <v>181</v>
      </c>
      <c r="B4" s="2" t="str">
        <f>SUBSTITUTE(SUBSTITUTE(SUBSTITUTE(Table248[[#This Row],[Standard Attributes List]]," ",""),".",""),"-","")</f>
        <v>BOREID(IN)</v>
      </c>
      <c r="C4" s="3" t="s">
        <v>336</v>
      </c>
      <c r="D4" s="3" t="str">
        <f>SUBSTITUTE(SUBSTITUTE(SUBSTITUTE(LEFT(Table248[[#This Row],[Reference]],FIND("=",Table248[[#This Row],[Reference]])-2)," ",""),".",""),"-","")</f>
        <v>BOREID(IN)</v>
      </c>
      <c r="E4" s="3" t="str">
        <f>TRIM(RIGHT(Table248[[#This Row],[Reference]],LEN(Table248[[#This Row],[Reference]])-FIND("=",Table248[[#This Row],[Reference]])-1))</f>
        <v>4.000</v>
      </c>
      <c r="F4" s="3" t="str">
        <f>VLOOKUP(Table248[[#This Row],[Column1]],D:E,2,FALSE)</f>
        <v>4.000</v>
      </c>
      <c r="G4" s="3"/>
      <c r="H4" s="4" t="str">
        <f>CONCATENATE(Table248[[#This Row],[Standard Attributes List]]," = ",IF(Table248[[#This Row],[Overwrite Value]]="",Table248[[#This Row],[Ref. Value]],Table248[[#This Row],[Overwrite Value]]))</f>
        <v>BORE I.D. (IN) = 4.000</v>
      </c>
      <c r="I4" t="str">
        <f>IF(Table248[[#This Row],[Reference]]=Table248[[#This Row],[Output]],"OK","NG")</f>
        <v>OK</v>
      </c>
      <c r="J4" s="2" t="str">
        <f>RIGHT(Table248[[#This Row],[Output]],LEN(Table248[[#This Row],[Output]])-FIND("=",Table248[[#This Row],[Output]])-1)</f>
        <v>4.000</v>
      </c>
      <c r="K4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5" spans="1:11" ht="16" thickTop="1" thickBot="1">
      <c r="A5" s="7" t="s">
        <v>15</v>
      </c>
      <c r="B5" s="2" t="str">
        <f>SUBSTITUTE(SUBSTITUTE(SUBSTITUTE(Table248[[#This Row],[Standard Attributes List]]," ",""),".",""),"-","")</f>
        <v>CASINGSIZE(IN)</v>
      </c>
      <c r="C5" s="3" t="s">
        <v>66</v>
      </c>
      <c r="D5" s="3" t="str">
        <f>SUBSTITUTE(SUBSTITUTE(SUBSTITUTE(LEFT(Table248[[#This Row],[Reference]],FIND("=",Table248[[#This Row],[Reference]])-2)," ",""),".",""),"-","")</f>
        <v>CASINGSIZE(IN)</v>
      </c>
      <c r="E5" s="3" t="str">
        <f>TRIM(RIGHT(Table248[[#This Row],[Reference]],LEN(Table248[[#This Row],[Reference]])-FIND("=",Table248[[#This Row],[Reference]])-1))</f>
        <v>7</v>
      </c>
      <c r="F5" s="3" t="str">
        <f>VLOOKUP(Table248[[#This Row],[Column1]],D:E,2,FALSE)</f>
        <v>7</v>
      </c>
      <c r="G5" s="3"/>
      <c r="H5" s="4" t="str">
        <f>CONCATENATE(Table248[[#This Row],[Standard Attributes List]]," = ",IF(Table248[[#This Row],[Overwrite Value]]="",Table248[[#This Row],[Ref. Value]],Table248[[#This Row],[Overwrite Value]]))</f>
        <v>CASING SIZE (IN) = 7</v>
      </c>
      <c r="I5" t="str">
        <f>IF(Table248[[#This Row],[Reference]]=Table248[[#This Row],[Output]],"OK","NG")</f>
        <v>OK</v>
      </c>
      <c r="J5" s="2" t="str">
        <f>RIGHT(Table248[[#This Row],[Output]],LEN(Table248[[#This Row],[Output]])-FIND("=",Table248[[#This Row],[Output]])-1)</f>
        <v>7</v>
      </c>
      <c r="K5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6" spans="1:11" ht="16" thickTop="1" thickBot="1">
      <c r="A6" s="7" t="s">
        <v>16</v>
      </c>
      <c r="B6" s="2" t="str">
        <f>SUBSTITUTE(SUBSTITUTE(SUBSTITUTE(Table248[[#This Row],[Standard Attributes List]]," ",""),".",""),"-","")</f>
        <v>CASINGWEIGHTRANGE(PPF)</v>
      </c>
      <c r="C6" s="3" t="s">
        <v>373</v>
      </c>
      <c r="D6" s="3" t="str">
        <f>SUBSTITUTE(SUBSTITUTE(SUBSTITUTE(LEFT(Table248[[#This Row],[Reference]],FIND("=",Table248[[#This Row],[Reference]])-2)," ",""),".",""),"-","")</f>
        <v>CASINGWEIGHTRANGE(PPF)</v>
      </c>
      <c r="E6" s="3" t="str">
        <f>TRIM(RIGHT(Table248[[#This Row],[Reference]],LEN(Table248[[#This Row],[Reference]])-FIND("=",Table248[[#This Row],[Reference]])-1))</f>
        <v>26-29</v>
      </c>
      <c r="F6" s="3" t="str">
        <f>VLOOKUP(Table248[[#This Row],[Column1]],D:E,2,FALSE)</f>
        <v>26-29</v>
      </c>
      <c r="G6" s="3"/>
      <c r="H6" s="4" t="str">
        <f>CONCATENATE(Table248[[#This Row],[Standard Attributes List]]," = ",IF(Table248[[#This Row],[Overwrite Value]]="",Table248[[#This Row],[Ref. Value]],Table248[[#This Row],[Overwrite Value]]))</f>
        <v>CASING WEIGHT RANGE (PPF) = 26-29</v>
      </c>
      <c r="I6" t="str">
        <f>IF(Table248[[#This Row],[Reference]]=Table248[[#This Row],[Output]],"OK","NG")</f>
        <v>OK</v>
      </c>
      <c r="J6" s="2" t="str">
        <f>RIGHT(Table248[[#This Row],[Output]],LEN(Table248[[#This Row],[Output]])-FIND("=",Table248[[#This Row],[Output]])-1)</f>
        <v>26-29</v>
      </c>
      <c r="K6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7" spans="1:11" ht="16" thickTop="1" thickBot="1">
      <c r="A7" s="7" t="s">
        <v>17</v>
      </c>
      <c r="B7" s="2" t="str">
        <f>SUBSTITUTE(SUBSTITUTE(SUBSTITUTE(Table248[[#This Row],[Standard Attributes List]]," ",""),".",""),"-","")</f>
        <v>CERTIFICATIONSTATUS</v>
      </c>
      <c r="C7" s="3" t="s">
        <v>485</v>
      </c>
      <c r="D7" s="3" t="str">
        <f>SUBSTITUTE(SUBSTITUTE(SUBSTITUTE(LEFT(Table248[[#This Row],[Reference]],FIND("=",Table248[[#This Row],[Reference]])-2)," ",""),".",""),"-","")</f>
        <v>CERTIFICATIONSTATUS</v>
      </c>
      <c r="E7" s="3" t="str">
        <f>TRIM(RIGHT(Table248[[#This Row],[Reference]],LEN(Table248[[#This Row],[Reference]])-FIND("=",Table248[[#This Row],[Reference]])-1))</f>
        <v>ISO-V3[150-325F]</v>
      </c>
      <c r="F7" s="3" t="str">
        <f>VLOOKUP(Table248[[#This Row],[Column1]],D:E,2,FALSE)</f>
        <v>ISO-V3[150-325F]</v>
      </c>
      <c r="G7" s="3"/>
      <c r="H7" s="4" t="str">
        <f>CONCATENATE(Table248[[#This Row],[Standard Attributes List]]," = ",IF(Table248[[#This Row],[Overwrite Value]]="",Table248[[#This Row],[Ref. Value]],Table248[[#This Row],[Overwrite Value]]))</f>
        <v>CERTIFICATION STATUS = ISO-V3[150-325F]</v>
      </c>
      <c r="I7" t="str">
        <f>IF(Table248[[#This Row],[Reference]]=Table248[[#This Row],[Output]],"OK","NG")</f>
        <v>OK</v>
      </c>
      <c r="J7" s="2" t="str">
        <f>RIGHT(Table248[[#This Row],[Output]],LEN(Table248[[#This Row],[Output]])-FIND("=",Table248[[#This Row],[Output]])-1)</f>
        <v>ISO-V3[150-325F]</v>
      </c>
      <c r="K7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8" spans="1:11" ht="16" thickTop="1" thickBot="1">
      <c r="A8" s="7" t="s">
        <v>36</v>
      </c>
      <c r="B8" s="2" t="str">
        <f>SUBSTITUTE(SUBSTITUTE(SUBSTITUTE(Table248[[#This Row],[Standard Attributes List]]," ",""),".",""),"-","")</f>
        <v>CONVEYANCEMETHOD</v>
      </c>
      <c r="C8" s="3" t="s">
        <v>337</v>
      </c>
      <c r="D8" s="3" t="str">
        <f>SUBSTITUTE(SUBSTITUTE(SUBSTITUTE(LEFT(Table248[[#This Row],[Reference]],FIND("=",Table248[[#This Row],[Reference]])-2)," ",""),".",""),"-","")</f>
        <v>CONVEYANCEMETHOD</v>
      </c>
      <c r="E8" s="3" t="str">
        <f>TRIM(RIGHT(Table248[[#This Row],[Reference]],LEN(Table248[[#This Row],[Reference]])-FIND("=",Table248[[#This Row],[Reference]])-1))</f>
        <v>SERVICE TOOL</v>
      </c>
      <c r="F8" s="3" t="str">
        <f>VLOOKUP(Table248[[#This Row],[Column1]],D:E,2,FALSE)</f>
        <v>SERVICE TOOL</v>
      </c>
      <c r="G8" s="3"/>
      <c r="H8" s="4" t="str">
        <f>CONCATENATE(Table248[[#This Row],[Standard Attributes List]]," = ",IF(Table248[[#This Row],[Overwrite Value]]="",Table248[[#This Row],[Ref. Value]],Table248[[#This Row],[Overwrite Value]]))</f>
        <v>CONVEYANCE METHOD = SERVICE TOOL</v>
      </c>
      <c r="I8" t="str">
        <f>IF(Table248[[#This Row],[Reference]]=Table248[[#This Row],[Output]],"OK","NG")</f>
        <v>OK</v>
      </c>
      <c r="J8" s="2" t="str">
        <f>RIGHT(Table248[[#This Row],[Output]],LEN(Table248[[#This Row],[Output]])-FIND("=",Table248[[#This Row],[Output]])-1)</f>
        <v>SERVICE TOOL</v>
      </c>
      <c r="K8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9" spans="1:11" ht="16" thickTop="1" thickBot="1">
      <c r="A9" s="7" t="s">
        <v>18</v>
      </c>
      <c r="B9" s="2" t="str">
        <f>SUBSTITUTE(SUBSTITUTE(SUBSTITUTE(Table248[[#This Row],[Standard Attributes List]]," ",""),".",""),"-","")</f>
        <v>DIFFERENTIALPRESSURERATING(PSI)</v>
      </c>
      <c r="C9" s="3" t="s">
        <v>116</v>
      </c>
      <c r="D9" s="3" t="str">
        <f>SUBSTITUTE(SUBSTITUTE(SUBSTITUTE(LEFT(Table248[[#This Row],[Reference]],FIND("=",Table248[[#This Row],[Reference]])-2)," ",""),".",""),"-","")</f>
        <v>DIFFERENTIALPRESSURERATING(PSI)</v>
      </c>
      <c r="E9" s="3" t="str">
        <f>TRIM(RIGHT(Table248[[#This Row],[Reference]],LEN(Table248[[#This Row],[Reference]])-FIND("=",Table248[[#This Row],[Reference]])-1))</f>
        <v>7500</v>
      </c>
      <c r="F9" s="3" t="str">
        <f>VLOOKUP(Table248[[#This Row],[Column1]],D:E,2,FALSE)</f>
        <v>7500</v>
      </c>
      <c r="G9" s="3"/>
      <c r="H9" s="4" t="str">
        <f>CONCATENATE(Table248[[#This Row],[Standard Attributes List]]," = ",IF(Table248[[#This Row],[Overwrite Value]]="",Table248[[#This Row],[Ref. Value]],Table248[[#This Row],[Overwrite Value]]))</f>
        <v>DIFFERENTIAL PRESSURE RATING (PSI) = 7500</v>
      </c>
      <c r="I9" t="str">
        <f>IF(Table248[[#This Row],[Reference]]=Table248[[#This Row],[Output]],"OK","NG")</f>
        <v>OK</v>
      </c>
      <c r="J9" s="2" t="str">
        <f>RIGHT(Table248[[#This Row],[Output]],LEN(Table248[[#This Row],[Output]])-FIND("=",Table248[[#This Row],[Output]])-1)</f>
        <v>7500</v>
      </c>
      <c r="K9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0" spans="1:11" ht="16" thickTop="1" thickBot="1">
      <c r="A10" s="7" t="s">
        <v>19</v>
      </c>
      <c r="B10" s="2" t="str">
        <f>SUBSTITUTE(SUBSTITUTE(SUBSTITUTE(Table248[[#This Row],[Standard Attributes List]]," ",""),".",""),"-","")</f>
        <v>DIFFERENTIALRATINGISOLATED(PSI)</v>
      </c>
      <c r="C10" s="3" t="s">
        <v>117</v>
      </c>
      <c r="D10" s="3" t="str">
        <f>SUBSTITUTE(SUBSTITUTE(SUBSTITUTE(LEFT(Table248[[#This Row],[Reference]],FIND("=",Table248[[#This Row],[Reference]])-2)," ",""),".",""),"-","")</f>
        <v>DIFFERENTIALRATINGISOLATED(PSI)</v>
      </c>
      <c r="E10" s="3" t="str">
        <f>TRIM(RIGHT(Table248[[#This Row],[Reference]],LEN(Table248[[#This Row],[Reference]])-FIND("=",Table248[[#This Row],[Reference]])-1))</f>
        <v>6000</v>
      </c>
      <c r="F10" s="3" t="str">
        <f>VLOOKUP(Table248[[#This Row],[Column1]],D:E,2,FALSE)</f>
        <v>6000</v>
      </c>
      <c r="G10" s="3"/>
      <c r="H10" s="4" t="str">
        <f>CONCATENATE(Table248[[#This Row],[Standard Attributes List]]," = ",IF(Table248[[#This Row],[Overwrite Value]]="",Table248[[#This Row],[Ref. Value]],Table248[[#This Row],[Overwrite Value]]))</f>
        <v>DIFFERENTIAL RATING ISOLATED (PSI) = 6000</v>
      </c>
      <c r="I10" t="str">
        <f>IF(Table248[[#This Row],[Reference]]=Table248[[#This Row],[Output]],"OK","NG")</f>
        <v>OK</v>
      </c>
      <c r="J10" s="2" t="str">
        <f>RIGHT(Table248[[#This Row],[Output]],LEN(Table248[[#This Row],[Output]])-FIND("=",Table248[[#This Row],[Output]])-1)</f>
        <v>6000</v>
      </c>
      <c r="K10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1" spans="1:11" ht="16" thickTop="1" thickBot="1">
      <c r="A11" s="7" t="s">
        <v>20</v>
      </c>
      <c r="B11" s="2" t="str">
        <f>SUBSTITUTE(SUBSTITUTE(SUBSTITUTE(Table248[[#This Row],[Standard Attributes List]]," ",""),".",""),"-","")</f>
        <v>DIFFERENTIALRATINGPLUGGED(PSI)</v>
      </c>
      <c r="C11" s="3" t="s">
        <v>118</v>
      </c>
      <c r="D11" s="3" t="str">
        <f>SUBSTITUTE(SUBSTITUTE(SUBSTITUTE(LEFT(Table248[[#This Row],[Reference]],FIND("=",Table248[[#This Row],[Reference]])-2)," ",""),".",""),"-","")</f>
        <v>DIFFERENTIALRATINGPLUGGED(PSI)</v>
      </c>
      <c r="E11" s="3" t="str">
        <f>TRIM(RIGHT(Table248[[#This Row],[Reference]],LEN(Table248[[#This Row],[Reference]])-FIND("=",Table248[[#This Row],[Reference]])-1))</f>
        <v>6000</v>
      </c>
      <c r="F11" s="3" t="str">
        <f>VLOOKUP(Table248[[#This Row],[Column1]],D:E,2,FALSE)</f>
        <v>6000</v>
      </c>
      <c r="G11" s="6"/>
      <c r="H11" s="4" t="str">
        <f>CONCATENATE(Table248[[#This Row],[Standard Attributes List]]," = ",IF(Table248[[#This Row],[Overwrite Value]]="",Table248[[#This Row],[Ref. Value]],Table248[[#This Row],[Overwrite Value]]))</f>
        <v>DIFFERENTIAL RATING PLUGGED (PSI) = 6000</v>
      </c>
      <c r="I11" t="str">
        <f>IF(Table248[[#This Row],[Reference]]=Table248[[#This Row],[Output]],"OK","NG")</f>
        <v>OK</v>
      </c>
      <c r="J11" s="2" t="str">
        <f>RIGHT(Table248[[#This Row],[Output]],LEN(Table248[[#This Row],[Output]])-FIND("=",Table248[[#This Row],[Output]])-1)</f>
        <v>6000</v>
      </c>
      <c r="K11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2" spans="1:11" ht="16" thickTop="1" thickBot="1">
      <c r="A12" s="7" t="s">
        <v>37</v>
      </c>
      <c r="B12" s="2" t="str">
        <f>SUBSTITUTE(SUBSTITUTE(SUBSTITUTE(Table248[[#This Row],[Standard Attributes List]]," ",""),".",""),"-","")</f>
        <v>DIFFERENTIALRATINGUNPLUGGED(PSI)</v>
      </c>
      <c r="C12" s="3" t="s">
        <v>119</v>
      </c>
      <c r="D12" s="3" t="str">
        <f>SUBSTITUTE(SUBSTITUTE(SUBSTITUTE(LEFT(Table248[[#This Row],[Reference]],FIND("=",Table248[[#This Row],[Reference]])-2)," ",""),".",""),"-","")</f>
        <v>DIFFERENTIALRATINGUNPLUGGED(PSI)</v>
      </c>
      <c r="E12" s="3" t="str">
        <f>TRIM(RIGHT(Table248[[#This Row],[Reference]],LEN(Table248[[#This Row],[Reference]])-FIND("=",Table248[[#This Row],[Reference]])-1))</f>
        <v>7500</v>
      </c>
      <c r="F12" s="3" t="str">
        <f>VLOOKUP(Table248[[#This Row],[Column1]],D:E,2,FALSE)</f>
        <v>7500</v>
      </c>
      <c r="G12" s="3"/>
      <c r="H12" s="4" t="str">
        <f>CONCATENATE(Table248[[#This Row],[Standard Attributes List]]," = ",IF(Table248[[#This Row],[Overwrite Value]]="",Table248[[#This Row],[Ref. Value]],Table248[[#This Row],[Overwrite Value]]))</f>
        <v>DIFFERENTIAL RATING UNPLUGGED (PSI) = 7500</v>
      </c>
      <c r="I12" t="str">
        <f>IF(Table248[[#This Row],[Reference]]=Table248[[#This Row],[Output]],"OK","NG")</f>
        <v>OK</v>
      </c>
      <c r="J12" s="2" t="str">
        <f>RIGHT(Table248[[#This Row],[Output]],LEN(Table248[[#This Row],[Output]])-FIND("=",Table248[[#This Row],[Output]])-1)</f>
        <v>7500</v>
      </c>
      <c r="K12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3" spans="1:11" ht="16" thickTop="1" thickBot="1">
      <c r="A13" s="7" t="s">
        <v>2</v>
      </c>
      <c r="B13" s="2" t="str">
        <f>SUBSTITUTE(SUBSTITUTE(SUBSTITUTE(Table248[[#This Row],[Standard Attributes List]]," ",""),".",""),"-","")</f>
        <v>EXTERNALWORKINGPRESSURE(PSI)EOECATSPECIFIEDTEMP(F)</v>
      </c>
      <c r="C13" s="3" t="s">
        <v>521</v>
      </c>
      <c r="D13" s="3" t="str">
        <f>SUBSTITUTE(SUBSTITUTE(SUBSTITUTE(LEFT(Table248[[#This Row],[Reference]],FIND("=",Table248[[#This Row],[Reference]])-2)," ",""),".",""),"-","")</f>
        <v>EXTERNALWORKINGPRESSURE(PSI)EOECATSPECIFIEDTEMP(F)</v>
      </c>
      <c r="E13" s="3" t="str">
        <f>TRIM(RIGHT(Table248[[#This Row],[Reference]],LEN(Table248[[#This Row],[Reference]])-FIND("=",Table248[[#This Row],[Reference]])-1))</f>
        <v>6000[325]</v>
      </c>
      <c r="F13" s="3" t="str">
        <f>VLOOKUP(Table248[[#This Row],[Column1]],D:E,2,FALSE)</f>
        <v>6000[325]</v>
      </c>
      <c r="G13" s="3"/>
      <c r="H13" s="4" t="str">
        <f>CONCATENATE(Table248[[#This Row],[Standard Attributes List]]," = ",IF(Table248[[#This Row],[Overwrite Value]]="",Table248[[#This Row],[Ref. Value]],Table248[[#This Row],[Overwrite Value]]))</f>
        <v>EXTERNAL WORKING PRESSURE (PSI) - EOEC AT SPECIFIED TEMP (F) = 6000[325]</v>
      </c>
      <c r="I13" t="str">
        <f>IF(Table248[[#This Row],[Reference]]=Table248[[#This Row],[Output]],"OK","NG")</f>
        <v>OK</v>
      </c>
      <c r="J13" s="2" t="str">
        <f>RIGHT(Table248[[#This Row],[Output]],LEN(Table248[[#This Row],[Output]])-FIND("=",Table248[[#This Row],[Output]])-1)</f>
        <v>6000[325]</v>
      </c>
      <c r="K13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4" spans="1:11" ht="16" thickTop="1" thickBot="1">
      <c r="A14" s="7" t="s">
        <v>50</v>
      </c>
      <c r="B14" s="2" t="str">
        <f>SUBSTITUTE(SUBSTITUTE(SUBSTITUTE(Table248[[#This Row],[Standard Attributes List]]," ",""),".",""),"-","")</f>
        <v>IDDRIFT(IN)</v>
      </c>
      <c r="C14" s="3" t="s">
        <v>338</v>
      </c>
      <c r="D14" s="3" t="str">
        <f>SUBSTITUTE(SUBSTITUTE(SUBSTITUTE(LEFT(Table248[[#This Row],[Reference]],FIND("=",Table248[[#This Row],[Reference]])-2)," ",""),".",""),"-","")</f>
        <v>IDDRIFT(IN)</v>
      </c>
      <c r="E14" s="3" t="str">
        <f>TRIM(RIGHT(Table248[[#This Row],[Reference]],LEN(Table248[[#This Row],[Reference]])-FIND("=",Table248[[#This Row],[Reference]])-1))</f>
        <v>3.995</v>
      </c>
      <c r="F14" s="3" t="str">
        <f>VLOOKUP(Table248[[#This Row],[Column1]],D:E,2,FALSE)</f>
        <v>3.995</v>
      </c>
      <c r="G14" s="3"/>
      <c r="H14" s="4" t="str">
        <f>CONCATENATE(Table248[[#This Row],[Standard Attributes List]]," = ",IF(Table248[[#This Row],[Overwrite Value]]="",Table248[[#This Row],[Ref. Value]],Table248[[#This Row],[Overwrite Value]]))</f>
        <v>I.D. - DRIFT (IN) = 3.995</v>
      </c>
      <c r="I14" t="str">
        <f>IF(Table248[[#This Row],[Reference]]=Table248[[#This Row],[Output]],"OK","NG")</f>
        <v>OK</v>
      </c>
      <c r="J14" s="2" t="str">
        <f>RIGHT(Table248[[#This Row],[Output]],LEN(Table248[[#This Row],[Output]])-FIND("=",Table248[[#This Row],[Output]])-1)</f>
        <v>3.995</v>
      </c>
      <c r="K14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5" spans="1:11" ht="16" thickTop="1" thickBot="1">
      <c r="A15" s="7" t="s">
        <v>51</v>
      </c>
      <c r="B15" s="2" t="str">
        <f>SUBSTITUTE(SUBSTITUTE(SUBSTITUTE(Table248[[#This Row],[Standard Attributes List]]," ",""),".",""),"-","")</f>
        <v>IDMIN(IN)</v>
      </c>
      <c r="C15" s="3" t="s">
        <v>339</v>
      </c>
      <c r="D15" s="3" t="str">
        <f>SUBSTITUTE(SUBSTITUTE(SUBSTITUTE(LEFT(Table248[[#This Row],[Reference]],FIND("=",Table248[[#This Row],[Reference]])-2)," ",""),".",""),"-","")</f>
        <v>IDMIN(IN)</v>
      </c>
      <c r="E15" s="3" t="str">
        <f>TRIM(RIGHT(Table248[[#This Row],[Reference]],LEN(Table248[[#This Row],[Reference]])-FIND("=",Table248[[#This Row],[Reference]])-1))</f>
        <v>4.000</v>
      </c>
      <c r="F15" s="3" t="str">
        <f>VLOOKUP(Table248[[#This Row],[Column1]],D:E,2,FALSE)</f>
        <v>4.000</v>
      </c>
      <c r="G15" s="8"/>
      <c r="H15" s="4" t="str">
        <f>CONCATENATE(Table248[[#This Row],[Standard Attributes List]]," = ",IF(Table248[[#This Row],[Overwrite Value]]="",Table248[[#This Row],[Ref. Value]],Table248[[#This Row],[Overwrite Value]]))</f>
        <v>I.D. - MIN. (IN) = 4.000</v>
      </c>
      <c r="I15" t="str">
        <f>IF(Table248[[#This Row],[Reference]]=Table248[[#This Row],[Output]],"OK","NG")</f>
        <v>OK</v>
      </c>
      <c r="J15" s="2" t="str">
        <f>RIGHT(Table248[[#This Row],[Output]],LEN(Table248[[#This Row],[Output]])-FIND("=",Table248[[#This Row],[Output]])-1)</f>
        <v>4.000</v>
      </c>
      <c r="K15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6" spans="1:11" ht="16" thickTop="1" thickBot="1">
      <c r="A16" s="7" t="s">
        <v>52</v>
      </c>
      <c r="B16" s="2" t="str">
        <f>SUBSTITUTE(SUBSTITUTE(SUBSTITUTE(Table248[[#This Row],[Standard Attributes List]]," ",""),".",""),"-","")</f>
        <v>ID(IN)</v>
      </c>
      <c r="C16" s="3" t="s">
        <v>340</v>
      </c>
      <c r="D16" s="3" t="str">
        <f>SUBSTITUTE(SUBSTITUTE(SUBSTITUTE(LEFT(Table248[[#This Row],[Reference]],FIND("=",Table248[[#This Row],[Reference]])-2)," ",""),".",""),"-","")</f>
        <v>ID(IN)</v>
      </c>
      <c r="E16" s="3" t="str">
        <f>TRIM(RIGHT(Table248[[#This Row],[Reference]],LEN(Table248[[#This Row],[Reference]])-FIND("=",Table248[[#This Row],[Reference]])-1))</f>
        <v>4.003</v>
      </c>
      <c r="F16" s="3" t="str">
        <f>VLOOKUP(Table248[[#This Row],[Column1]],D:E,2,FALSE)</f>
        <v>4.003</v>
      </c>
      <c r="G16" s="3"/>
      <c r="H16" s="4" t="str">
        <f>CONCATENATE(Table248[[#This Row],[Standard Attributes List]]," = ",IF(Table248[[#This Row],[Overwrite Value]]="",Table248[[#This Row],[Ref. Value]],Table248[[#This Row],[Overwrite Value]]))</f>
        <v>I.D. (IN) = 4.003</v>
      </c>
      <c r="I16" t="str">
        <f>IF(Table248[[#This Row],[Reference]]=Table248[[#This Row],[Output]],"OK","NG")</f>
        <v>OK</v>
      </c>
      <c r="J16" s="2" t="str">
        <f>RIGHT(Table248[[#This Row],[Output]],LEN(Table248[[#This Row],[Output]])-FIND("=",Table248[[#This Row],[Output]])-1)</f>
        <v>4.003</v>
      </c>
      <c r="K16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7" spans="1:11" ht="16" thickTop="1" thickBot="1">
      <c r="A17" s="7" t="s">
        <v>3</v>
      </c>
      <c r="B17" s="2" t="str">
        <f>SUBSTITUTE(SUBSTITUTE(SUBSTITUTE(Table248[[#This Row],[Standard Attributes List]]," ",""),".",""),"-","")</f>
        <v>INTERNALWORKINGPRESSURE(PSI)EOECATSPECIFIEDTEMP(F)</v>
      </c>
      <c r="C17" s="3" t="s">
        <v>124</v>
      </c>
      <c r="D17" s="3" t="str">
        <f>SUBSTITUTE(SUBSTITUTE(SUBSTITUTE(LEFT(Table248[[#This Row],[Reference]],FIND("=",Table248[[#This Row],[Reference]])-2)," ",""),".",""),"-","")</f>
        <v>INTERNALWORKINGPRESSURE(PSI)EOECATSPECIFIEDTEMP(F)</v>
      </c>
      <c r="E17" s="3" t="str">
        <f>TRIM(RIGHT(Table248[[#This Row],[Reference]],LEN(Table248[[#This Row],[Reference]])-FIND("=",Table248[[#This Row],[Reference]])-1))</f>
        <v>7500[325]</v>
      </c>
      <c r="F17" s="3" t="str">
        <f>VLOOKUP(Table248[[#This Row],[Column1]],D:E,2,FALSE)</f>
        <v>7500[325]</v>
      </c>
      <c r="G17" s="3"/>
      <c r="H17" s="4" t="str">
        <f>CONCATENATE(Table248[[#This Row],[Standard Attributes List]]," = ",IF(Table248[[#This Row],[Overwrite Value]]="",Table248[[#This Row],[Ref. Value]],Table248[[#This Row],[Overwrite Value]]))</f>
        <v>INTERNAL WORKING PRESSURE (PSI) - EOEC AT SPECIFIED TEMP (F) = 7500[325]</v>
      </c>
      <c r="I17" t="str">
        <f>IF(Table248[[#This Row],[Reference]]=Table248[[#This Row],[Output]],"OK","NG")</f>
        <v>OK</v>
      </c>
      <c r="J17" s="2" t="str">
        <f>RIGHT(Table248[[#This Row],[Output]],LEN(Table248[[#This Row],[Output]])-FIND("=",Table248[[#This Row],[Output]])-1)</f>
        <v>7500[325]</v>
      </c>
      <c r="K17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8" spans="1:11" ht="16" thickTop="1" thickBot="1">
      <c r="A18" s="7" t="s">
        <v>59</v>
      </c>
      <c r="B18" s="2" t="str">
        <f>SUBSTITUTE(SUBSTITUTE(SUBSTITUTE(Table248[[#This Row],[Standard Attributes List]]," ",""),".",""),"-","")</f>
        <v>ISOQUALIFIEDCASINGID</v>
      </c>
      <c r="C18" s="3" t="s">
        <v>77</v>
      </c>
      <c r="D18" s="3" t="str">
        <f>SUBSTITUTE(SUBSTITUTE(SUBSTITUTE(LEFT(Table248[[#This Row],[Reference]],FIND("=",Table248[[#This Row],[Reference]])-2)," ",""),".",""),"-","")</f>
        <v>ISOQUALIFIEDCASINGID</v>
      </c>
      <c r="E18" s="3" t="str">
        <f>TRIM(RIGHT(Table248[[#This Row],[Reference]],LEN(Table248[[#This Row],[Reference]])-FIND("=",Table248[[#This Row],[Reference]])-1))</f>
        <v>MAX API ID</v>
      </c>
      <c r="F18" s="3" t="str">
        <f>VLOOKUP(Table248[[#This Row],[Column1]],D:E,2,FALSE)</f>
        <v>MAX API ID</v>
      </c>
      <c r="G18" s="3"/>
      <c r="H18" s="4" t="str">
        <f>CONCATENATE(Table248[[#This Row],[Standard Attributes List]]," = ",IF(Table248[[#This Row],[Overwrite Value]]="",Table248[[#This Row],[Ref. Value]],Table248[[#This Row],[Overwrite Value]]))</f>
        <v>ISO QUALIFIED CASING ID = MAX API ID</v>
      </c>
      <c r="I18" t="str">
        <f>IF(Table248[[#This Row],[Reference]]=Table248[[#This Row],[Output]],"OK","NG")</f>
        <v>OK</v>
      </c>
      <c r="J18" s="2" t="str">
        <f>RIGHT(Table248[[#This Row],[Output]],LEN(Table248[[#This Row],[Output]])-FIND("=",Table248[[#This Row],[Output]])-1)</f>
        <v>MAX API ID</v>
      </c>
      <c r="K18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9" spans="1:11" ht="16" thickTop="1" thickBot="1">
      <c r="A19" s="7" t="s">
        <v>4</v>
      </c>
      <c r="B19" s="2" t="str">
        <f>SUBSTITUTE(SUBSTITUTE(SUBSTITUTE(Table248[[#This Row],[Standard Attributes List]]," ",""),".",""),"-","")</f>
        <v>LOWERTHREADCONNECTINGSIZE(IN),WT(PPF),TYPE,CONFIG</v>
      </c>
      <c r="C19" s="3" t="s">
        <v>341</v>
      </c>
      <c r="D19" s="3" t="str">
        <f>SUBSTITUTE(SUBSTITUTE(SUBSTITUTE(LEFT(Table248[[#This Row],[Reference]],FIND("=",Table248[[#This Row],[Reference]])-2)," ",""),".",""),"-","")</f>
        <v>LOWERTHREADCONNECTINGSIZE(IN),WT(PPF),TYPE,CONFIG</v>
      </c>
      <c r="E19" s="3" t="str">
        <f>TRIM(RIGHT(Table248[[#This Row],[Reference]],LEN(Table248[[#This Row],[Reference]])-FIND("=",Table248[[#This Row],[Reference]])-1))</f>
        <v>4.937, 6, STUB ACME, PIN</v>
      </c>
      <c r="F19" s="3" t="str">
        <f>VLOOKUP(Table248[[#This Row],[Column1]],D:E,2,FALSE)</f>
        <v>4.937, 6, STUB ACME, PIN</v>
      </c>
      <c r="G19" s="3"/>
      <c r="H19" s="4" t="str">
        <f>CONCATENATE(Table248[[#This Row],[Standard Attributes List]]," = ",IF(Table248[[#This Row],[Overwrite Value]]="",Table248[[#This Row],[Ref. Value]],Table248[[#This Row],[Overwrite Value]]))</f>
        <v>LOWER THREAD CONNECTING - SIZE (IN), WT (PPF), TYPE, CONFIG = 4.937, 6, STUB ACME, PIN</v>
      </c>
      <c r="I19" t="str">
        <f>IF(Table248[[#This Row],[Reference]]=Table248[[#This Row],[Output]],"OK","NG")</f>
        <v>OK</v>
      </c>
      <c r="J19" s="2" t="str">
        <f>RIGHT(Table248[[#This Row],[Output]],LEN(Table248[[#This Row],[Output]])-FIND("=",Table248[[#This Row],[Output]])-1)</f>
        <v>4.937, 6, STUB ACME, PIN</v>
      </c>
      <c r="K19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0" spans="1:11" ht="16" thickTop="1" thickBot="1">
      <c r="A20" s="7" t="s">
        <v>53</v>
      </c>
      <c r="B20" s="2" t="str">
        <f>SUBSTITUTE(SUBSTITUTE(SUBSTITUTE(Table248[[#This Row],[Standard Attributes List]]," ",""),".",""),"-","")</f>
        <v>MAKEUPLENGTH(IN)</v>
      </c>
      <c r="C20" s="3" t="s">
        <v>431</v>
      </c>
      <c r="D20" s="3" t="str">
        <f>SUBSTITUTE(SUBSTITUTE(SUBSTITUTE(LEFT(Table248[[#This Row],[Reference]],FIND("=",Table248[[#This Row],[Reference]])-2)," ",""),".",""),"-","")</f>
        <v>MAKEUPLENGTH(IN)</v>
      </c>
      <c r="E20" s="3" t="str">
        <f>TRIM(RIGHT(Table248[[#This Row],[Reference]],LEN(Table248[[#This Row],[Reference]])-FIND("=",Table248[[#This Row],[Reference]])-1))</f>
        <v>48</v>
      </c>
      <c r="F20" s="3" t="str">
        <f>VLOOKUP(Table248[[#This Row],[Column1]],D:E,2,FALSE)</f>
        <v>48</v>
      </c>
      <c r="G20" s="3"/>
      <c r="H20" s="4" t="str">
        <f>CONCATENATE(Table248[[#This Row],[Standard Attributes List]]," = ",IF(Table248[[#This Row],[Overwrite Value]]="",Table248[[#This Row],[Ref. Value]],Table248[[#This Row],[Overwrite Value]]))</f>
        <v>MAKE-UP LENGTH (IN) = 48</v>
      </c>
      <c r="I20" t="str">
        <f>IF(Table248[[#This Row],[Reference]]=Table248[[#This Row],[Output]],"OK","NG")</f>
        <v>OK</v>
      </c>
      <c r="J20" s="2" t="str">
        <f>RIGHT(Table248[[#This Row],[Output]],LEN(Table248[[#This Row],[Output]])-FIND("=",Table248[[#This Row],[Output]])-1)</f>
        <v>48</v>
      </c>
      <c r="K20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1" spans="1:11" ht="16" thickTop="1" thickBot="1">
      <c r="A21" s="7" t="s">
        <v>5</v>
      </c>
      <c r="B21" s="2" t="str">
        <f>SUBSTITUTE(SUBSTITUTE(SUBSTITUTE(Table248[[#This Row],[Standard Attributes List]]," ",""),".",""),"-","")</f>
        <v>MATERIAL/ELASTOMERS</v>
      </c>
      <c r="C21" s="3" t="s">
        <v>201</v>
      </c>
      <c r="D21" s="3" t="str">
        <f>SUBSTITUTE(SUBSTITUTE(SUBSTITUTE(LEFT(Table248[[#This Row],[Reference]],FIND("=",Table248[[#This Row],[Reference]])-2)," ",""),".",""),"-","")</f>
        <v>MATERIAL/ELASTOMERS</v>
      </c>
      <c r="E21" s="3" t="str">
        <f>TRIM(RIGHT(Table248[[#This Row],[Reference]],LEN(Table248[[#This Row],[Reference]])-FIND("=",Table248[[#This Row],[Reference]])-1))</f>
        <v>HNBR, VITON</v>
      </c>
      <c r="F21" s="3" t="str">
        <f>VLOOKUP(Table248[[#This Row],[Column1]],D:E,2,FALSE)</f>
        <v>HNBR, VITON</v>
      </c>
      <c r="G21" s="6"/>
      <c r="H21" s="4" t="str">
        <f>CONCATENATE(Table248[[#This Row],[Standard Attributes List]]," = ",IF(Table248[[#This Row],[Overwrite Value]]="",Table248[[#This Row],[Ref. Value]],Table248[[#This Row],[Overwrite Value]]))</f>
        <v>MATERIAL/ELASTOMERS = HNBR, VITON</v>
      </c>
      <c r="I21" t="str">
        <f>IF(Table248[[#This Row],[Reference]]=Table248[[#This Row],[Output]],"OK","NG")</f>
        <v>OK</v>
      </c>
      <c r="J21" s="2" t="str">
        <f>RIGHT(Table248[[#This Row],[Output]],LEN(Table248[[#This Row],[Output]])-FIND("=",Table248[[#This Row],[Output]])-1)</f>
        <v>HNBR, VITON</v>
      </c>
      <c r="K21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2" spans="1:11" ht="16" thickTop="1" thickBot="1">
      <c r="A22" s="7" t="s">
        <v>21</v>
      </c>
      <c r="B22" s="2" t="str">
        <f>SUBSTITUTE(SUBSTITUTE(SUBSTITUTE(Table248[[#This Row],[Standard Attributes List]]," ",""),".",""),"-","")</f>
        <v>MATERIAL/ELEMENTS</v>
      </c>
      <c r="C22" s="3" t="s">
        <v>62</v>
      </c>
      <c r="D22" s="3" t="str">
        <f>SUBSTITUTE(SUBSTITUTE(SUBSTITUTE(LEFT(Table248[[#This Row],[Reference]],FIND("=",Table248[[#This Row],[Reference]])-2)," ",""),".",""),"-","")</f>
        <v>MATERIAL/ELEMENTS</v>
      </c>
      <c r="E22" s="3" t="str">
        <f>TRIM(RIGHT(Table248[[#This Row],[Reference]],LEN(Table248[[#This Row],[Reference]])-FIND("=",Table248[[#This Row],[Reference]])-1))</f>
        <v>HNBR</v>
      </c>
      <c r="F22" s="3" t="str">
        <f>VLOOKUP(Table248[[#This Row],[Column1]],D:E,2,FALSE)</f>
        <v>HNBR</v>
      </c>
      <c r="G22" s="3"/>
      <c r="H22" s="4" t="str">
        <f>CONCATENATE(Table248[[#This Row],[Standard Attributes List]]," = ",IF(Table248[[#This Row],[Overwrite Value]]="",Table248[[#This Row],[Ref. Value]],Table248[[#This Row],[Overwrite Value]]))</f>
        <v>MATERIAL/ELEMENTS = HNBR</v>
      </c>
      <c r="I22" t="str">
        <f>IF(Table248[[#This Row],[Reference]]=Table248[[#This Row],[Output]],"OK","NG")</f>
        <v>OK</v>
      </c>
      <c r="J22" s="2" t="str">
        <f>RIGHT(Table248[[#This Row],[Output]],LEN(Table248[[#This Row],[Output]])-FIND("=",Table248[[#This Row],[Output]])-1)</f>
        <v>HNBR</v>
      </c>
      <c r="K22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3" spans="1:11" ht="16" thickTop="1" thickBot="1">
      <c r="A23" s="7" t="s">
        <v>22</v>
      </c>
      <c r="B23" s="2" t="str">
        <f>SUBSTITUTE(SUBSTITUTE(SUBSTITUTE(Table248[[#This Row],[Standard Attributes List]]," ",""),".",""),"-","")</f>
        <v>MATERIAL/NONFLOWWETTED</v>
      </c>
      <c r="C23" s="3" t="s">
        <v>80</v>
      </c>
      <c r="D23" s="3" t="str">
        <f>SUBSTITUTE(SUBSTITUTE(SUBSTITUTE(LEFT(Table248[[#This Row],[Reference]],FIND("=",Table248[[#This Row],[Reference]])-2)," ",""),".",""),"-","")</f>
        <v>MATERIAL/NONFLOWWETTED</v>
      </c>
      <c r="E23" s="3" t="str">
        <f>TRIM(RIGHT(Table248[[#This Row],[Reference]],LEN(Table248[[#This Row],[Reference]])-FIND("=",Table248[[#This Row],[Reference]])-1))</f>
        <v>4130/4140, 4340</v>
      </c>
      <c r="F23" s="3" t="str">
        <f>VLOOKUP(Table248[[#This Row],[Column1]],D:E,2,FALSE)</f>
        <v>4130/4140, 4340</v>
      </c>
      <c r="G23" s="3"/>
      <c r="H23" s="4" t="str">
        <f>CONCATENATE(Table248[[#This Row],[Standard Attributes List]]," = ",IF(Table248[[#This Row],[Overwrite Value]]="",Table248[[#This Row],[Ref. Value]],Table248[[#This Row],[Overwrite Value]]))</f>
        <v>MATERIAL/NON FLOW WETTED = 4130/4140, 4340</v>
      </c>
      <c r="I23" t="str">
        <f>IF(Table248[[#This Row],[Reference]]=Table248[[#This Row],[Output]],"OK","NG")</f>
        <v>OK</v>
      </c>
      <c r="J23" s="2" t="str">
        <f>RIGHT(Table248[[#This Row],[Output]],LEN(Table248[[#This Row],[Output]])-FIND("=",Table248[[#This Row],[Output]])-1)</f>
        <v>4130/4140, 4340</v>
      </c>
      <c r="K23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4" spans="1:11" ht="16" thickTop="1" thickBot="1">
      <c r="A24" s="7" t="s">
        <v>23</v>
      </c>
      <c r="B24" s="2" t="str">
        <f>SUBSTITUTE(SUBSTITUTE(SUBSTITUTE(Table248[[#This Row],[Standard Attributes List]]," ",""),".",""),"-","")</f>
        <v>MATERIAL/ORING(S)</v>
      </c>
      <c r="C24" s="3" t="s">
        <v>203</v>
      </c>
      <c r="D24" s="3" t="str">
        <f>SUBSTITUTE(SUBSTITUTE(SUBSTITUTE(LEFT(Table248[[#This Row],[Reference]],FIND("=",Table248[[#This Row],[Reference]])-2)," ",""),".",""),"-","")</f>
        <v>MATERIAL/ORING(S)</v>
      </c>
      <c r="E24" s="3" t="str">
        <f>TRIM(RIGHT(Table248[[#This Row],[Reference]],LEN(Table248[[#This Row],[Reference]])-FIND("=",Table248[[#This Row],[Reference]])-1))</f>
        <v>VITON</v>
      </c>
      <c r="F24" s="3" t="str">
        <f>VLOOKUP(Table248[[#This Row],[Column1]],D:E,2,FALSE)</f>
        <v>VITON</v>
      </c>
      <c r="G24" s="3"/>
      <c r="H24" s="4" t="str">
        <f>CONCATENATE(Table248[[#This Row],[Standard Attributes List]]," = ",IF(Table248[[#This Row],[Overwrite Value]]="",Table248[[#This Row],[Ref. Value]],Table248[[#This Row],[Overwrite Value]]))</f>
        <v>MATERIAL/O-RING(S) = VITON</v>
      </c>
      <c r="I24" t="str">
        <f>IF(Table248[[#This Row],[Reference]]=Table248[[#This Row],[Output]],"OK","NG")</f>
        <v>OK</v>
      </c>
      <c r="J24" s="2" t="str">
        <f>RIGHT(Table248[[#This Row],[Output]],LEN(Table248[[#This Row],[Output]])-FIND("=",Table248[[#This Row],[Output]])-1)</f>
        <v>VITON</v>
      </c>
      <c r="K24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5" spans="1:11" ht="16" thickTop="1" thickBot="1">
      <c r="A25" s="7" t="s">
        <v>38</v>
      </c>
      <c r="B25" s="2" t="str">
        <f>SUBSTITUTE(SUBSTITUTE(SUBSTITUTE(Table248[[#This Row],[Standard Attributes List]]," ",""),".",""),"-","")</f>
        <v>MAXCIRCULATIONRATEPASTPACKER(BPM)</v>
      </c>
      <c r="C25" s="3" t="s">
        <v>432</v>
      </c>
      <c r="D25" s="3" t="str">
        <f>SUBSTITUTE(SUBSTITUTE(SUBSTITUTE(LEFT(Table248[[#This Row],[Reference]],FIND("=",Table248[[#This Row],[Reference]])-2)," ",""),".",""),"-","")</f>
        <v>MAXCIRCULATIONRATEPASTPACKER(BPM)</v>
      </c>
      <c r="E25" s="3" t="str">
        <f>TRIM(RIGHT(Table248[[#This Row],[Reference]],LEN(Table248[[#This Row],[Reference]])-FIND("=",Table248[[#This Row],[Reference]])-1))</f>
        <v>8.0</v>
      </c>
      <c r="F25" s="3" t="str">
        <f>VLOOKUP(Table248[[#This Row],[Column1]],D:E,2,FALSE)</f>
        <v>8.0</v>
      </c>
      <c r="G25" s="3"/>
      <c r="H25" s="4" t="str">
        <f>CONCATENATE(Table248[[#This Row],[Standard Attributes List]]," = ",IF(Table248[[#This Row],[Overwrite Value]]="",Table248[[#This Row],[Ref. Value]],Table248[[#This Row],[Overwrite Value]]))</f>
        <v>MAX. CIRCULATION RATE PAST PACKER (BPM) = 8.0</v>
      </c>
      <c r="I25" t="str">
        <f>IF(Table248[[#This Row],[Reference]]=Table248[[#This Row],[Output]],"OK","NG")</f>
        <v>OK</v>
      </c>
      <c r="J25" s="2" t="str">
        <f>RIGHT(Table248[[#This Row],[Output]],LEN(Table248[[#This Row],[Output]])-FIND("=",Table248[[#This Row],[Output]])-1)</f>
        <v>8.0</v>
      </c>
      <c r="K25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6" spans="1:11" ht="16" thickTop="1" thickBot="1">
      <c r="A26" s="7" t="s">
        <v>24</v>
      </c>
      <c r="B26" s="2" t="str">
        <f>SUBSTITUTE(SUBSTITUTE(SUBSTITUTE(Table248[[#This Row],[Standard Attributes List]]," ",""),".",""),"-","")</f>
        <v>MAXDELTAT(F)</v>
      </c>
      <c r="C26" s="3" t="s">
        <v>495</v>
      </c>
      <c r="D26" s="3" t="str">
        <f>SUBSTITUTE(SUBSTITUTE(SUBSTITUTE(LEFT(Table248[[#This Row],[Reference]],FIND("=",Table248[[#This Row],[Reference]])-2)," ",""),".",""),"-","")</f>
        <v>MAXDELTAT(F)</v>
      </c>
      <c r="E26" s="3" t="str">
        <f>TRIM(RIGHT(Table248[[#This Row],[Reference]],LEN(Table248[[#This Row],[Reference]])-FIND("=",Table248[[#This Row],[Reference]])-1))</f>
        <v>175</v>
      </c>
      <c r="F26" s="3" t="str">
        <f>VLOOKUP(Table248[[#This Row],[Column1]],D:E,2,FALSE)</f>
        <v>175</v>
      </c>
      <c r="G26" s="3"/>
      <c r="H26" s="4" t="str">
        <f>CONCATENATE(Table248[[#This Row],[Standard Attributes List]]," = ",IF(Table248[[#This Row],[Overwrite Value]]="",Table248[[#This Row],[Ref. Value]],Table248[[#This Row],[Overwrite Value]]))</f>
        <v>MAX. DELTA T (F) = 175</v>
      </c>
      <c r="I26" t="str">
        <f>IF(Table248[[#This Row],[Reference]]=Table248[[#This Row],[Output]],"OK","NG")</f>
        <v>OK</v>
      </c>
      <c r="J26" s="2" t="str">
        <f>RIGHT(Table248[[#This Row],[Output]],LEN(Table248[[#This Row],[Output]])-FIND("=",Table248[[#This Row],[Output]])-1)</f>
        <v>175</v>
      </c>
      <c r="K26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7" spans="1:11" ht="16" thickTop="1" thickBot="1">
      <c r="A27" s="7" t="s">
        <v>39</v>
      </c>
      <c r="B27" s="2" t="str">
        <f>SUBSTITUTE(SUBSTITUTE(SUBSTITUTE(Table248[[#This Row],[Standard Attributes List]]," ",""),".",""),"-","")</f>
        <v>MAXRIHRATE(FPM)</v>
      </c>
      <c r="C27" s="3" t="s">
        <v>84</v>
      </c>
      <c r="D27" s="3" t="str">
        <f>SUBSTITUTE(SUBSTITUTE(SUBSTITUTE(LEFT(Table248[[#This Row],[Reference]],FIND("=",Table248[[#This Row],[Reference]])-2)," ",""),".",""),"-","")</f>
        <v>MAXRIHRATE(FPM)</v>
      </c>
      <c r="E27" s="3" t="str">
        <f>TRIM(RIGHT(Table248[[#This Row],[Reference]],LEN(Table248[[#This Row],[Reference]])-FIND("=",Table248[[#This Row],[Reference]])-1))</f>
        <v>200</v>
      </c>
      <c r="F27" s="3" t="str">
        <f>VLOOKUP(Table248[[#This Row],[Column1]],D:E,2,FALSE)</f>
        <v>200</v>
      </c>
      <c r="G27" s="3"/>
      <c r="H27" s="4" t="str">
        <f>CONCATENATE(Table248[[#This Row],[Standard Attributes List]]," = ",IF(Table248[[#This Row],[Overwrite Value]]="",Table248[[#This Row],[Ref. Value]],Table248[[#This Row],[Overwrite Value]]))</f>
        <v>MAX. RIH RATE (FPM) = 200</v>
      </c>
      <c r="I27" t="str">
        <f>IF(Table248[[#This Row],[Reference]]=Table248[[#This Row],[Output]],"OK","NG")</f>
        <v>OK</v>
      </c>
      <c r="J27" s="2" t="str">
        <f>RIGHT(Table248[[#This Row],[Output]],LEN(Table248[[#This Row],[Output]])-FIND("=",Table248[[#This Row],[Output]])-1)</f>
        <v>200</v>
      </c>
      <c r="K27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8" spans="1:11" ht="16" thickTop="1" thickBot="1">
      <c r="A28" s="7" t="s">
        <v>6</v>
      </c>
      <c r="B28" s="2" t="str">
        <f>SUBSTITUTE(SUBSTITUTE(SUBSTITUTE(Table248[[#This Row],[Standard Attributes List]]," ",""),".",""),"-","")</f>
        <v>MAXWORKINGTEMPERATURE(DEGF)</v>
      </c>
      <c r="C28" s="3" t="s">
        <v>63</v>
      </c>
      <c r="D28" s="3" t="str">
        <f>SUBSTITUTE(SUBSTITUTE(SUBSTITUTE(LEFT(Table248[[#This Row],[Reference]],FIND("=",Table248[[#This Row],[Reference]])-2)," ",""),".",""),"-","")</f>
        <v>MAXWORKINGTEMPERATURE(DEGF)</v>
      </c>
      <c r="E28" s="3" t="str">
        <f>TRIM(RIGHT(Table248[[#This Row],[Reference]],LEN(Table248[[#This Row],[Reference]])-FIND("=",Table248[[#This Row],[Reference]])-1))</f>
        <v>325</v>
      </c>
      <c r="F28" s="3" t="str">
        <f>VLOOKUP(Table248[[#This Row],[Column1]],D:E,2,FALSE)</f>
        <v>325</v>
      </c>
      <c r="G28" s="3"/>
      <c r="H28" s="4" t="str">
        <f>CONCATENATE(Table248[[#This Row],[Standard Attributes List]]," = ",IF(Table248[[#This Row],[Overwrite Value]]="",Table248[[#This Row],[Ref. Value]],Table248[[#This Row],[Overwrite Value]]))</f>
        <v>MAX. WORKING TEMPERATURE (DEG.F) = 325</v>
      </c>
      <c r="I28" t="str">
        <f>IF(Table248[[#This Row],[Reference]]=Table248[[#This Row],[Output]],"OK","NG")</f>
        <v>OK</v>
      </c>
      <c r="J28" s="2" t="str">
        <f>RIGHT(Table248[[#This Row],[Output]],LEN(Table248[[#This Row],[Output]])-FIND("=",Table248[[#This Row],[Output]])-1)</f>
        <v>325</v>
      </c>
      <c r="K28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9" spans="1:11" ht="16" thickTop="1" thickBot="1">
      <c r="A29" s="7" t="s">
        <v>7</v>
      </c>
      <c r="B29" s="2" t="str">
        <f>SUBSTITUTE(SUBSTITUTE(SUBSTITUTE(Table248[[#This Row],[Standard Attributes List]]," ",""),".",""),"-","")</f>
        <v>MINWORKINGTEMPERATURE(DEGF)</v>
      </c>
      <c r="C29" s="3" t="s">
        <v>274</v>
      </c>
      <c r="D29" s="3" t="str">
        <f>SUBSTITUTE(SUBSTITUTE(SUBSTITUTE(LEFT(Table248[[#This Row],[Reference]],FIND("=",Table248[[#This Row],[Reference]])-2)," ",""),".",""),"-","")</f>
        <v>MINWORKINGTEMPERATURE(DEGF)</v>
      </c>
      <c r="E29" s="3" t="str">
        <f>TRIM(RIGHT(Table248[[#This Row],[Reference]],LEN(Table248[[#This Row],[Reference]])-FIND("=",Table248[[#This Row],[Reference]])-1))</f>
        <v>150</v>
      </c>
      <c r="F29" s="3" t="str">
        <f>VLOOKUP(Table248[[#This Row],[Column1]],D:E,2,FALSE)</f>
        <v>150</v>
      </c>
      <c r="G29" s="3"/>
      <c r="H29" s="4" t="str">
        <f>CONCATENATE(Table248[[#This Row],[Standard Attributes List]]," = ",IF(Table248[[#This Row],[Overwrite Value]]="",Table248[[#This Row],[Ref. Value]],Table248[[#This Row],[Overwrite Value]]))</f>
        <v>MIN. WORKING TEMPERATURE (DEG.F) = 150</v>
      </c>
      <c r="I29" t="str">
        <f>IF(Table248[[#This Row],[Reference]]=Table248[[#This Row],[Output]],"OK","NG")</f>
        <v>OK</v>
      </c>
      <c r="J29" s="2" t="str">
        <f>RIGHT(Table248[[#This Row],[Output]],LEN(Table248[[#This Row],[Output]])-FIND("=",Table248[[#This Row],[Output]])-1)</f>
        <v>150</v>
      </c>
      <c r="K29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0" spans="1:11" ht="16" thickTop="1" thickBot="1">
      <c r="A30" s="7" t="s">
        <v>8</v>
      </c>
      <c r="B30" s="2" t="str">
        <f>SUBSTITUTE(SUBSTITUTE(SUBSTITUTE(Table248[[#This Row],[Standard Attributes List]]," ",""),".",""),"-","")</f>
        <v>ODMAX(IN)</v>
      </c>
      <c r="C30" s="3" t="s">
        <v>385</v>
      </c>
      <c r="D30" s="3" t="str">
        <f>SUBSTITUTE(SUBSTITUTE(SUBSTITUTE(LEFT(Table248[[#This Row],[Reference]],FIND("=",Table248[[#This Row],[Reference]])-2)," ",""),".",""),"-","")</f>
        <v>ODMAX(IN)</v>
      </c>
      <c r="E30" s="3" t="str">
        <f>TRIM(RIGHT(Table248[[#This Row],[Reference]],LEN(Table248[[#This Row],[Reference]])-FIND("=",Table248[[#This Row],[Reference]])-1))</f>
        <v>6.000</v>
      </c>
      <c r="F30" s="3" t="str">
        <f>VLOOKUP(Table248[[#This Row],[Column1]],D:E,2,FALSE)</f>
        <v>6.000</v>
      </c>
      <c r="G30" s="3"/>
      <c r="H30" s="4" t="str">
        <f>CONCATENATE(Table248[[#This Row],[Standard Attributes List]]," = ",IF(Table248[[#This Row],[Overwrite Value]]="",Table248[[#This Row],[Ref. Value]],Table248[[#This Row],[Overwrite Value]]))</f>
        <v>O.D. - MAX. (IN) = 6.000</v>
      </c>
      <c r="I30" t="str">
        <f>IF(Table248[[#This Row],[Reference]]=Table248[[#This Row],[Output]],"OK","NG")</f>
        <v>OK</v>
      </c>
      <c r="J30" s="2" t="str">
        <f>RIGHT(Table248[[#This Row],[Output]],LEN(Table248[[#This Row],[Output]])-FIND("=",Table248[[#This Row],[Output]])-1)</f>
        <v>6.000</v>
      </c>
      <c r="K30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1" spans="1:11" ht="16" thickTop="1" thickBot="1">
      <c r="A31" s="7" t="s">
        <v>9</v>
      </c>
      <c r="B31" s="2" t="str">
        <f>SUBSTITUTE(SUBSTITUTE(SUBSTITUTE(Table248[[#This Row],[Standard Attributes List]]," ",""),".",""),"-","")</f>
        <v>OD(IN)</v>
      </c>
      <c r="C31" s="3" t="s">
        <v>433</v>
      </c>
      <c r="D31" s="3" t="str">
        <f>SUBSTITUTE(SUBSTITUTE(SUBSTITUTE(LEFT(Table248[[#This Row],[Reference]],FIND("=",Table248[[#This Row],[Reference]])-2)," ",""),".",""),"-","")</f>
        <v>OD(IN)</v>
      </c>
      <c r="E31" s="3" t="str">
        <f>TRIM(RIGHT(Table248[[#This Row],[Reference]],LEN(Table248[[#This Row],[Reference]])-FIND("=",Table248[[#This Row],[Reference]])-1))</f>
        <v>5.998</v>
      </c>
      <c r="F31" s="3" t="str">
        <f>VLOOKUP(Table248[[#This Row],[Column1]],D:E,2,FALSE)</f>
        <v>5.998</v>
      </c>
      <c r="G31" s="3"/>
      <c r="H31" s="4" t="str">
        <f>CONCATENATE(Table248[[#This Row],[Standard Attributes List]]," = ",IF(Table248[[#This Row],[Overwrite Value]]="",Table248[[#This Row],[Ref. Value]],Table248[[#This Row],[Overwrite Value]]))</f>
        <v>O.D. (IN) = 5.998</v>
      </c>
      <c r="I31" t="str">
        <f>IF(Table248[[#This Row],[Reference]]=Table248[[#This Row],[Output]],"OK","NG")</f>
        <v>OK</v>
      </c>
      <c r="J31" s="2" t="str">
        <f>RIGHT(Table248[[#This Row],[Output]],LEN(Table248[[#This Row],[Output]])-FIND("=",Table248[[#This Row],[Output]])-1)</f>
        <v>5.998</v>
      </c>
      <c r="K31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2" spans="1:11" ht="16" thickTop="1" thickBot="1">
      <c r="A32" s="7" t="s">
        <v>40</v>
      </c>
      <c r="B32" s="2" t="str">
        <f>SUBSTITUTE(SUBSTITUTE(SUBSTITUTE(Table248[[#This Row],[Standard Attributes List]]," ",""),".",""),"-","")</f>
        <v>OPERATIONSMANUAL</v>
      </c>
      <c r="C32" s="3" t="s">
        <v>342</v>
      </c>
      <c r="D32" s="3" t="str">
        <f>SUBSTITUTE(SUBSTITUTE(SUBSTITUTE(LEFT(Table248[[#This Row],[Reference]],FIND("=",Table248[[#This Row],[Reference]])-2)," ",""),".",""),"-","")</f>
        <v>OPERATIONSMANUAL</v>
      </c>
      <c r="E32" s="3" t="str">
        <f>TRIM(RIGHT(Table248[[#This Row],[Reference]],LEN(Table248[[#This Row],[Reference]])-FIND("=",Table248[[#This Row],[Reference]])-1))</f>
        <v>IT# 4011424</v>
      </c>
      <c r="F32" s="3" t="str">
        <f>VLOOKUP(Table248[[#This Row],[Column1]],D:E,2,FALSE)</f>
        <v>IT# 4011424</v>
      </c>
      <c r="G32" s="3"/>
      <c r="H32" s="4" t="str">
        <f>CONCATENATE(Table248[[#This Row],[Standard Attributes List]]," = ",IF(Table248[[#This Row],[Overwrite Value]]="",Table248[[#This Row],[Ref. Value]],Table248[[#This Row],[Overwrite Value]]))</f>
        <v>OPERATIONS MANUAL = IT# 4011424</v>
      </c>
      <c r="I32" t="str">
        <f>IF(Table248[[#This Row],[Reference]]=Table248[[#This Row],[Output]],"OK","NG")</f>
        <v>OK</v>
      </c>
      <c r="J32" s="2" t="str">
        <f>RIGHT(Table248[[#This Row],[Output]],LEN(Table248[[#This Row],[Output]])-FIND("=",Table248[[#This Row],[Output]])-1)</f>
        <v>IT# 4011424</v>
      </c>
      <c r="K32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3" spans="1:14" ht="16" thickTop="1" thickBot="1">
      <c r="A33" s="7" t="s">
        <v>10</v>
      </c>
      <c r="B33" s="2" t="str">
        <f>SUBSTITUTE(SUBSTITUTE(SUBSTITUTE(Table248[[#This Row],[Standard Attributes List]]," ",""),".",""),"-","")</f>
        <v>OVERALLLENGTH(IN)</v>
      </c>
      <c r="C33" s="3" t="s">
        <v>343</v>
      </c>
      <c r="D33" s="3" t="str">
        <f>SUBSTITUTE(SUBSTITUTE(SUBSTITUTE(LEFT(Table248[[#This Row],[Reference]],FIND("=",Table248[[#This Row],[Reference]])-2)," ",""),".",""),"-","")</f>
        <v>OVERALLLENGTH(IN)</v>
      </c>
      <c r="E33" s="3" t="str">
        <f>TRIM(RIGHT(Table248[[#This Row],[Reference]],LEN(Table248[[#This Row],[Reference]])-FIND("=",Table248[[#This Row],[Reference]])-1))</f>
        <v>64</v>
      </c>
      <c r="F33" s="3" t="str">
        <f>VLOOKUP(Table248[[#This Row],[Column1]],D:E,2,FALSE)</f>
        <v>64</v>
      </c>
      <c r="G33" s="3"/>
      <c r="H33" s="4" t="str">
        <f>CONCATENATE(Table248[[#This Row],[Standard Attributes List]]," = ",IF(Table248[[#This Row],[Overwrite Value]]="",Table248[[#This Row],[Ref. Value]],Table248[[#This Row],[Overwrite Value]]))</f>
        <v>OVERALL LENGTH (IN) = 64</v>
      </c>
      <c r="I33" t="str">
        <f>IF(Table248[[#This Row],[Reference]]=Table248[[#This Row],[Output]],"OK","NG")</f>
        <v>OK</v>
      </c>
      <c r="J33" s="2" t="str">
        <f>RIGHT(Table248[[#This Row],[Output]],LEN(Table248[[#This Row],[Output]])-FIND("=",Table248[[#This Row],[Output]])-1)</f>
        <v>64</v>
      </c>
      <c r="K33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4" spans="1:14" ht="16" thickTop="1" thickBot="1">
      <c r="A34" s="7" t="s">
        <v>25</v>
      </c>
      <c r="B34" s="2" t="str">
        <f>SUBSTITUTE(SUBSTITUTE(SUBSTITUTE(Table248[[#This Row],[Standard Attributes List]]," ",""),".",""),"-","")</f>
        <v>PACKERENVELOPEPOINTSISOLATEDLOAD(LBS)</v>
      </c>
      <c r="C34" s="3" t="s">
        <v>522</v>
      </c>
      <c r="D34" s="3" t="str">
        <f>SUBSTITUTE(SUBSTITUTE(SUBSTITUTE(LEFT(Table248[[#This Row],[Reference]],FIND("=",Table248[[#This Row],[Reference]])-2)," ",""),".",""),"-","")</f>
        <v>PACKERENVELOPEPOINTSISOLATEDLOAD(LBS)</v>
      </c>
      <c r="E34" s="3" t="str">
        <f>TRIM(RIGHT(Table248[[#This Row],[Reference]],LEN(Table248[[#This Row],[Reference]])-FIND("=",Table248[[#This Row],[Reference]])-1))</f>
        <v>140331, 97052, 0, -99800, -250593, -250593, -216996, 33459, 140331</v>
      </c>
      <c r="F34" s="3" t="str">
        <f>VLOOKUP(Table248[[#This Row],[Column1]],D:E,2,FALSE)</f>
        <v>140331, 97052, 0, -99800, -250593, -250593, -216996, 33459, 140331</v>
      </c>
      <c r="G34" s="3"/>
      <c r="H34" s="4" t="str">
        <f>CONCATENATE(Table248[[#This Row],[Standard Attributes List]]," = ",IF(Table248[[#This Row],[Overwrite Value]]="",Table248[[#This Row],[Ref. Value]],Table248[[#This Row],[Overwrite Value]]))</f>
        <v>PACKER ENVELOPE POINTS ISOLATED - LOAD (LBS) = 140331, 97052, 0, -99800, -250593, -250593, -216996, 33459, 140331</v>
      </c>
      <c r="I34" t="str">
        <f>IF(Table248[[#This Row],[Reference]]=Table248[[#This Row],[Output]],"OK","NG")</f>
        <v>OK</v>
      </c>
      <c r="J34" s="2" t="str">
        <f>RIGHT(Table248[[#This Row],[Output]],LEN(Table248[[#This Row],[Output]])-FIND("=",Table248[[#This Row],[Output]])-1)</f>
        <v>140331, 97052, 0, -99800, -250593, -250593, -216996, 33459, 140331</v>
      </c>
      <c r="K34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5" spans="1:14" ht="16" thickTop="1" thickBot="1">
      <c r="A35" s="7" t="s">
        <v>26</v>
      </c>
      <c r="B35" s="2" t="str">
        <f>SUBSTITUTE(SUBSTITUTE(SUBSTITUTE(Table248[[#This Row],[Standard Attributes List]]," ",""),".",""),"-","")</f>
        <v>PACKERENVELOPEPOINTSISOLATEDPRESSURE(PSI)</v>
      </c>
      <c r="C35" s="3" t="s">
        <v>523</v>
      </c>
      <c r="D35" s="3" t="str">
        <f>SUBSTITUTE(SUBSTITUTE(SUBSTITUTE(LEFT(Table248[[#This Row],[Reference]],FIND("=",Table248[[#This Row],[Reference]])-2)," ",""),".",""),"-","")</f>
        <v>PACKERENVELOPEPOINTSISOLATEDPRESSURE(PSI)</v>
      </c>
      <c r="E35" s="3" t="str">
        <f>TRIM(RIGHT(Table248[[#This Row],[Reference]],LEN(Table248[[#This Row],[Reference]])-FIND("=",Table248[[#This Row],[Reference]])-1))</f>
        <v>0, 3790, 5993, 7500, 7500, 0, -7500, -7500, -5328</v>
      </c>
      <c r="F35" s="3" t="str">
        <f>VLOOKUP(Table248[[#This Row],[Column1]],D:E,2,FALSE)</f>
        <v>0, 3790, 5993, 7500, 7500, 0, -7500, -7500, -5328</v>
      </c>
      <c r="G35" s="3"/>
      <c r="H35" s="4" t="str">
        <f>CONCATENATE(Table248[[#This Row],[Standard Attributes List]]," = ",IF(Table248[[#This Row],[Overwrite Value]]="",Table248[[#This Row],[Ref. Value]],Table248[[#This Row],[Overwrite Value]]))</f>
        <v>PACKER ENVELOPE POINTS ISOLATED - PRESSURE (PSI) = 0, 3790, 5993, 7500, 7500, 0, -7500, -7500, -5328</v>
      </c>
      <c r="I35" t="str">
        <f>IF(Table248[[#This Row],[Reference]]=Table248[[#This Row],[Output]],"OK","NG")</f>
        <v>OK</v>
      </c>
      <c r="J35" s="2" t="str">
        <f>RIGHT(Table248[[#This Row],[Output]],LEN(Table248[[#This Row],[Output]])-FIND("=",Table248[[#This Row],[Output]])-1)</f>
        <v>0, 3790, 5993, 7500, 7500, 0, -7500, -7500, -5328</v>
      </c>
      <c r="K35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6" spans="1:14" ht="16" thickTop="1" thickBot="1">
      <c r="A36" s="7" t="s">
        <v>27</v>
      </c>
      <c r="B36" s="2" t="str">
        <f>SUBSTITUTE(SUBSTITUTE(SUBSTITUTE(Table248[[#This Row],[Standard Attributes List]]," ",""),".",""),"-","")</f>
        <v>PACKERENVELOPEPOINTSPLUGGEDBELOWLOAD(LBS)</v>
      </c>
      <c r="C36" s="3" t="s">
        <v>524</v>
      </c>
      <c r="D36" s="3" t="str">
        <f>SUBSTITUTE(SUBSTITUTE(SUBSTITUTE(LEFT(Table248[[#This Row],[Reference]],FIND("=",Table248[[#This Row],[Reference]])-2)," ",""),".",""),"-","")</f>
        <v>PACKERENVELOPEPOINTSPLUGGEDBELOWLOAD(LBS)</v>
      </c>
      <c r="E36" s="3" t="str">
        <f>TRIM(RIGHT(Table248[[#This Row],[Reference]],LEN(Table248[[#This Row],[Reference]])-FIND("=",Table248[[#This Row],[Reference]])-1))</f>
        <v>140331, 97052, 0, -99800, -250593, -250593, -234896, -26785, 140331</v>
      </c>
      <c r="F36" s="3" t="str">
        <f>VLOOKUP(Table248[[#This Row],[Column1]],D:E,2,FALSE)</f>
        <v>140331, 97052, 0, -99800, -250593, -250593, -234896, -26785, 140331</v>
      </c>
      <c r="G36" s="3"/>
      <c r="H36" s="4" t="str">
        <f>CONCATENATE(Table248[[#This Row],[Standard Attributes List]]," = ",IF(Table248[[#This Row],[Overwrite Value]]="",Table248[[#This Row],[Ref. Value]],Table248[[#This Row],[Overwrite Value]]))</f>
        <v>PACKER ENVELOPE POINTS PLUGGED - BELOW - LOAD (LBS) = 140331, 97052, 0, -99800, -250593, -250593, -234896, -26785, 140331</v>
      </c>
      <c r="I36" t="str">
        <f>IF(Table248[[#This Row],[Reference]]=Table248[[#This Row],[Output]],"OK","NG")</f>
        <v>OK</v>
      </c>
      <c r="J36" s="2" t="str">
        <f>RIGHT(Table248[[#This Row],[Output]],LEN(Table248[[#This Row],[Output]])-FIND("=",Table248[[#This Row],[Output]])-1)</f>
        <v>140331, 97052, 0, -99800, -250593, -250593, -234896, -26785, 140331</v>
      </c>
      <c r="K36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7" spans="1:14" ht="16" thickTop="1" thickBot="1">
      <c r="A37" s="7" t="s">
        <v>28</v>
      </c>
      <c r="B37" s="2" t="str">
        <f>SUBSTITUTE(SUBSTITUTE(SUBSTITUTE(Table248[[#This Row],[Standard Attributes List]]," ",""),".",""),"-","")</f>
        <v>PACKERENVELOPEPOINTSPLUGGEDBELOWPRESSURE(PSI)</v>
      </c>
      <c r="C37" s="3" t="s">
        <v>525</v>
      </c>
      <c r="D37" s="3" t="str">
        <f>SUBSTITUTE(SUBSTITUTE(SUBSTITUTE(LEFT(Table248[[#This Row],[Reference]],FIND("=",Table248[[#This Row],[Reference]])-2)," ",""),".",""),"-","")</f>
        <v>PACKERENVELOPEPOINTSPLUGGEDBELOWPRESSURE(PSI)</v>
      </c>
      <c r="E37" s="3" t="str">
        <f>TRIM(RIGHT(Table248[[#This Row],[Reference]],LEN(Table248[[#This Row],[Reference]])-FIND("=",Table248[[#This Row],[Reference]])-1))</f>
        <v>0, 3790, 5993, 7500, 7500, 0, -919, -7500, -7500</v>
      </c>
      <c r="F37" s="3" t="str">
        <f>VLOOKUP(Table248[[#This Row],[Column1]],D:E,2,FALSE)</f>
        <v>0, 3790, 5993, 7500, 7500, 0, -919, -7500, -7500</v>
      </c>
      <c r="G37" s="3"/>
      <c r="H37" s="4" t="str">
        <f>CONCATENATE(Table248[[#This Row],[Standard Attributes List]]," = ",IF(Table248[[#This Row],[Overwrite Value]]="",Table248[[#This Row],[Ref. Value]],Table248[[#This Row],[Overwrite Value]]))</f>
        <v>PACKER ENVELOPE POINTS PLUGGED - BELOW - PRESSURE (PSI) = 0, 3790, 5993, 7500, 7500, 0, -919, -7500, -7500</v>
      </c>
      <c r="I37" t="str">
        <f>IF(Table248[[#This Row],[Reference]]=Table248[[#This Row],[Output]],"OK","NG")</f>
        <v>OK</v>
      </c>
      <c r="J37" s="2" t="str">
        <f>RIGHT(Table248[[#This Row],[Output]],LEN(Table248[[#This Row],[Output]])-FIND("=",Table248[[#This Row],[Output]])-1)</f>
        <v>0, 3790, 5993, 7500, 7500, 0, -919, -7500, -7500</v>
      </c>
      <c r="K37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8" spans="1:14" ht="16" thickTop="1" thickBot="1">
      <c r="A38" s="7" t="s">
        <v>29</v>
      </c>
      <c r="B38" s="2" t="str">
        <f>SUBSTITUTE(SUBSTITUTE(SUBSTITUTE(Table248[[#This Row],[Standard Attributes List]]," ",""),".",""),"-","")</f>
        <v>PACKERENVELOPEPOINTSUNPLUGGEDLOAD(LBS)</v>
      </c>
      <c r="C38" s="3" t="s">
        <v>526</v>
      </c>
      <c r="D38" s="3" t="str">
        <f>SUBSTITUTE(SUBSTITUTE(SUBSTITUTE(LEFT(Table248[[#This Row],[Reference]],FIND("=",Table248[[#This Row],[Reference]])-2)," ",""),".",""),"-","")</f>
        <v>PACKERENVELOPEPOINTSUNPLUGGEDLOAD(LBS)</v>
      </c>
      <c r="E38" s="3" t="str">
        <f>TRIM(RIGHT(Table248[[#This Row],[Reference]],LEN(Table248[[#This Row],[Reference]])-FIND("=",Table248[[#This Row],[Reference]])-1))</f>
        <v>140331, 11585, -250593, -250593, -216996, 33459, 140331</v>
      </c>
      <c r="F38" s="3" t="str">
        <f>VLOOKUP(Table248[[#This Row],[Column1]],D:E,2,FALSE)</f>
        <v>140331, 11585, -250593, -250593, -216996, 33459, 140331</v>
      </c>
      <c r="G38" s="3"/>
      <c r="H38" s="4" t="str">
        <f>CONCATENATE(Table248[[#This Row],[Standard Attributes List]]," = ",IF(Table248[[#This Row],[Overwrite Value]]="",Table248[[#This Row],[Ref. Value]],Table248[[#This Row],[Overwrite Value]]))</f>
        <v>PACKER ENVELOPE POINTS UNPLUGGED - LOAD (LBS) = 140331, 11585, -250593, -250593, -216996, 33459, 140331</v>
      </c>
      <c r="I38" t="str">
        <f>IF(Table248[[#This Row],[Reference]]=Table248[[#This Row],[Output]],"OK","NG")</f>
        <v>OK</v>
      </c>
      <c r="J38" s="2" t="str">
        <f>RIGHT(Table248[[#This Row],[Output]],LEN(Table248[[#This Row],[Output]])-FIND("=",Table248[[#This Row],[Output]])-1)</f>
        <v>140331, 11585, -250593, -250593, -216996, 33459, 140331</v>
      </c>
      <c r="K38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9" spans="1:14" ht="16" thickTop="1" thickBot="1">
      <c r="A39" s="7" t="s">
        <v>30</v>
      </c>
      <c r="B39" s="2" t="str">
        <f>SUBSTITUTE(SUBSTITUTE(SUBSTITUTE(Table248[[#This Row],[Standard Attributes List]]," ",""),".",""),"-","")</f>
        <v>PACKERENVELOPEPOINTSUNPLUGGEDPRESSURE(PSI)</v>
      </c>
      <c r="C39" s="3" t="s">
        <v>527</v>
      </c>
      <c r="D39" s="3" t="str">
        <f>SUBSTITUTE(SUBSTITUTE(SUBSTITUTE(LEFT(Table248[[#This Row],[Reference]],FIND("=",Table248[[#This Row],[Reference]])-2)," ",""),".",""),"-","")</f>
        <v>PACKERENVELOPEPOINTSUNPLUGGEDPRESSURE(PSI)</v>
      </c>
      <c r="E39" s="3" t="str">
        <f>TRIM(RIGHT(Table248[[#This Row],[Reference]],LEN(Table248[[#This Row],[Reference]])-FIND("=",Table248[[#This Row],[Reference]])-1))</f>
        <v>0, 7500, 7500, 0, -7500, -7500, -5328</v>
      </c>
      <c r="F39" s="3" t="str">
        <f>VLOOKUP(Table248[[#This Row],[Column1]],D:E,2,FALSE)</f>
        <v>0, 7500, 7500, 0, -7500, -7500, -5328</v>
      </c>
      <c r="G39" s="3"/>
      <c r="H39" s="4" t="str">
        <f>CONCATENATE(Table248[[#This Row],[Standard Attributes List]]," = ",IF(Table248[[#This Row],[Overwrite Value]]="",Table248[[#This Row],[Ref. Value]],Table248[[#This Row],[Overwrite Value]]))</f>
        <v>PACKER ENVELOPE POINTS UNPLUGGED - PRESSURE (PSI) = 0, 7500, 7500, 0, -7500, -7500, -5328</v>
      </c>
      <c r="I39" t="str">
        <f>IF(Table248[[#This Row],[Reference]]=Table248[[#This Row],[Output]],"OK","NG")</f>
        <v>OK</v>
      </c>
      <c r="J39" s="2" t="str">
        <f>RIGHT(Table248[[#This Row],[Output]],LEN(Table248[[#This Row],[Output]])-FIND("=",Table248[[#This Row],[Output]])-1)</f>
        <v>0, 7500, 7500, 0, -7500, -7500, -5328</v>
      </c>
      <c r="K39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40" spans="1:14" ht="16" thickTop="1" thickBot="1">
      <c r="A40" s="7" t="s">
        <v>41</v>
      </c>
      <c r="B40" s="2" t="str">
        <f>SUBSTITUTE(SUBSTITUTE(SUBSTITUTE(Table248[[#This Row],[Standard Attributes List]]," ",""),".",""),"-","")</f>
        <v>QUALITYCONTROLGRADE</v>
      </c>
      <c r="C40" s="3" t="s">
        <v>60</v>
      </c>
      <c r="D40" s="3" t="str">
        <f>SUBSTITUTE(SUBSTITUTE(SUBSTITUTE(LEFT(Table248[[#This Row],[Reference]],FIND("=",Table248[[#This Row],[Reference]])-2)," ",""),".",""),"-","")</f>
        <v>QUALITYCONTROLGRADE</v>
      </c>
      <c r="E40" s="3" t="str">
        <f>TRIM(RIGHT(Table248[[#This Row],[Reference]],LEN(Table248[[#This Row],[Reference]])-FIND("=",Table248[[#This Row],[Reference]])-1))</f>
        <v>Q3</v>
      </c>
      <c r="F40" s="3" t="str">
        <f>VLOOKUP(Table248[[#This Row],[Column1]],D:E,2,FALSE)</f>
        <v>Q3</v>
      </c>
      <c r="G40" s="3"/>
      <c r="H40" s="4" t="str">
        <f>CONCATENATE(Table248[[#This Row],[Standard Attributes List]]," = ",IF(Table248[[#This Row],[Overwrite Value]]="",Table248[[#This Row],[Ref. Value]],Table248[[#This Row],[Overwrite Value]]))</f>
        <v>QUALITY CONTROL GRADE = Q3</v>
      </c>
      <c r="I40" t="str">
        <f>IF(Table248[[#This Row],[Reference]]=Table248[[#This Row],[Output]],"OK","NG")</f>
        <v>OK</v>
      </c>
      <c r="J40" s="2" t="str">
        <f>RIGHT(Table248[[#This Row],[Output]],LEN(Table248[[#This Row],[Output]])-FIND("=",Table248[[#This Row],[Output]])-1)</f>
        <v>Q3</v>
      </c>
      <c r="K40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0" s="11"/>
      <c r="N40" s="11"/>
    </row>
    <row r="41" spans="1:14" ht="16" thickTop="1" thickBot="1">
      <c r="A41" s="7" t="s">
        <v>11</v>
      </c>
      <c r="B41" s="2" t="str">
        <f>SUBSTITUTE(SUBSTITUTE(SUBSTITUTE(Table248[[#This Row],[Standard Attributes List]]," ",""),".",""),"-","")</f>
        <v>QUALITYCONTROLPLANQCP</v>
      </c>
      <c r="C41" s="3" t="s">
        <v>528</v>
      </c>
      <c r="D41" s="3" t="str">
        <f>SUBSTITUTE(SUBSTITUTE(SUBSTITUTE(LEFT(Table248[[#This Row],[Reference]],FIND("=",Table248[[#This Row],[Reference]])-2)," ",""),".",""),"-","")</f>
        <v>QUALITYCONTROLPLANQCP</v>
      </c>
      <c r="E41" s="3" t="str">
        <f>TRIM(RIGHT(Table248[[#This Row],[Reference]],LEN(Table248[[#This Row],[Reference]])-FIND("=",Table248[[#This Row],[Reference]])-1))</f>
        <v>QCP-101154743</v>
      </c>
      <c r="F41" s="3" t="str">
        <f>VLOOKUP(Table248[[#This Row],[Column1]],D:E,2,FALSE)</f>
        <v>QCP-101154743</v>
      </c>
      <c r="G41" s="3" t="s">
        <v>105</v>
      </c>
      <c r="H41" s="4" t="str">
        <f>CONCATENATE(Table248[[#This Row],[Standard Attributes List]]," = ",IF(Table248[[#This Row],[Overwrite Value]]="",Table248[[#This Row],[Ref. Value]],Table248[[#This Row],[Overwrite Value]]))</f>
        <v>QUALITY CONTROL PLAN - QCP = STD SLB</v>
      </c>
      <c r="I41" t="str">
        <f>IF(Table248[[#This Row],[Reference]]=Table248[[#This Row],[Output]],"OK","NG")</f>
        <v>NG</v>
      </c>
      <c r="J41" s="2" t="str">
        <f>RIGHT(Table248[[#This Row],[Output]],LEN(Table248[[#This Row],[Output]])-FIND("=",Table248[[#This Row],[Output]])-1)</f>
        <v>STD SLB</v>
      </c>
      <c r="K41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>QUALITY CONTROL PLAN - QCP CHANGED TO "STD SLB"</v>
      </c>
      <c r="M41" s="11"/>
      <c r="N41" s="11"/>
    </row>
    <row r="42" spans="1:14" ht="16" thickTop="1" thickBot="1">
      <c r="A42" s="7" t="s">
        <v>42</v>
      </c>
      <c r="B42" s="2" t="str">
        <f>SUBSTITUTE(SUBSTITUTE(SUBSTITUTE(Table248[[#This Row],[Standard Attributes List]]," ",""),".",""),"-","")</f>
        <v>RETRIEVALMETHOD</v>
      </c>
      <c r="C42" s="3" t="s">
        <v>218</v>
      </c>
      <c r="D42" s="3" t="str">
        <f>SUBSTITUTE(SUBSTITUTE(SUBSTITUTE(LEFT(Table248[[#This Row],[Reference]],FIND("=",Table248[[#This Row],[Reference]])-2)," ",""),".",""),"-","")</f>
        <v>RETRIEVALMETHOD</v>
      </c>
      <c r="E42" s="3" t="str">
        <f>TRIM(RIGHT(Table248[[#This Row],[Reference]],LEN(Table248[[#This Row],[Reference]])-FIND("=",Table248[[#This Row],[Reference]])-1))</f>
        <v>SHIFT-TO-RELEASE</v>
      </c>
      <c r="F42" s="3" t="str">
        <f>VLOOKUP(Table248[[#This Row],[Column1]],D:E,2,FALSE)</f>
        <v>SHIFT-TO-RELEASE</v>
      </c>
      <c r="G42" s="3"/>
      <c r="H42" s="4" t="str">
        <f>CONCATENATE(Table248[[#This Row],[Standard Attributes List]]," = ",IF(Table248[[#This Row],[Overwrite Value]]="",Table248[[#This Row],[Ref. Value]],Table248[[#This Row],[Overwrite Value]]))</f>
        <v>RETRIEVAL METHOD = SHIFT-TO-RELEASE</v>
      </c>
      <c r="I42" t="str">
        <f>IF(Table248[[#This Row],[Reference]]=Table248[[#This Row],[Output]],"OK","NG")</f>
        <v>OK</v>
      </c>
      <c r="J42" s="2" t="str">
        <f>RIGHT(Table248[[#This Row],[Output]],LEN(Table248[[#This Row],[Output]])-FIND("=",Table248[[#This Row],[Output]])-1)</f>
        <v>SHIFT-TO-RELEASE</v>
      </c>
      <c r="K42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2" s="11"/>
      <c r="N42" s="11"/>
    </row>
    <row r="43" spans="1:14" ht="16" thickTop="1" thickBot="1">
      <c r="A43" s="7" t="s">
        <v>31</v>
      </c>
      <c r="B43" s="2" t="str">
        <f>SUBSTITUTE(SUBSTITUTE(SUBSTITUTE(Table248[[#This Row],[Standard Attributes List]]," ",""),".",""),"-","")</f>
        <v>SEALDIAMETER(IN)</v>
      </c>
      <c r="C43" s="3" t="s">
        <v>344</v>
      </c>
      <c r="D43" s="3" t="str">
        <f>SUBSTITUTE(SUBSTITUTE(SUBSTITUTE(LEFT(Table248[[#This Row],[Reference]],FIND("=",Table248[[#This Row],[Reference]])-2)," ",""),".",""),"-","")</f>
        <v>SEALDIAMETER(IN)</v>
      </c>
      <c r="E43" s="3" t="str">
        <f>TRIM(RIGHT(Table248[[#This Row],[Reference]],LEN(Table248[[#This Row],[Reference]])-FIND("=",Table248[[#This Row],[Reference]])-1))</f>
        <v>4.000</v>
      </c>
      <c r="F43" s="3" t="str">
        <f>VLOOKUP(Table248[[#This Row],[Column1]],D:E,2,FALSE)</f>
        <v>4.000</v>
      </c>
      <c r="G43" s="3"/>
      <c r="H43" s="4" t="str">
        <f>CONCATENATE(Table248[[#This Row],[Standard Attributes List]]," = ",IF(Table248[[#This Row],[Overwrite Value]]="",Table248[[#This Row],[Ref. Value]],Table248[[#This Row],[Overwrite Value]]))</f>
        <v>SEAL DIAMETER (IN) = 4.000</v>
      </c>
      <c r="I43" t="str">
        <f>IF(Table248[[#This Row],[Reference]]=Table248[[#This Row],[Output]],"OK","NG")</f>
        <v>OK</v>
      </c>
      <c r="J43" s="2" t="str">
        <f>RIGHT(Table248[[#This Row],[Output]],LEN(Table248[[#This Row],[Output]])-FIND("=",Table248[[#This Row],[Output]])-1)</f>
        <v>4.000</v>
      </c>
      <c r="K43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3" s="11"/>
      <c r="N43" s="11"/>
    </row>
    <row r="44" spans="1:14" ht="16" thickTop="1" thickBot="1">
      <c r="A44" s="7" t="s">
        <v>12</v>
      </c>
      <c r="B44" s="2" t="str">
        <f>SUBSTITUTE(SUBSTITUTE(SUBSTITUTE(Table248[[#This Row],[Standard Attributes List]]," ",""),".",""),"-","")</f>
        <v>SERVICENACE(YES/NO)</v>
      </c>
      <c r="C44" s="3" t="s">
        <v>49</v>
      </c>
      <c r="D44" s="3" t="str">
        <f>SUBSTITUTE(SUBSTITUTE(SUBSTITUTE(LEFT(Table248[[#This Row],[Reference]],FIND("=",Table248[[#This Row],[Reference]])-2)," ",""),".",""),"-","")</f>
        <v>SERVICENACE(YES/NO)</v>
      </c>
      <c r="E44" s="3" t="str">
        <f>TRIM(RIGHT(Table248[[#This Row],[Reference]],LEN(Table248[[#This Row],[Reference]])-FIND("=",Table248[[#This Row],[Reference]])-1))</f>
        <v>YES</v>
      </c>
      <c r="F44" s="3" t="str">
        <f>VLOOKUP(Table248[[#This Row],[Column1]],D:E,2,FALSE)</f>
        <v>YES</v>
      </c>
      <c r="G44" s="3"/>
      <c r="H44" s="4" t="str">
        <f>CONCATENATE(Table248[[#This Row],[Standard Attributes List]]," = ",IF(Table248[[#This Row],[Overwrite Value]]="",Table248[[#This Row],[Ref. Value]],Table248[[#This Row],[Overwrite Value]]))</f>
        <v>SERVICE NACE (YES/NO) = YES</v>
      </c>
      <c r="I44" t="str">
        <f>IF(Table248[[#This Row],[Reference]]=Table248[[#This Row],[Output]],"OK","NG")</f>
        <v>OK</v>
      </c>
      <c r="J44" s="2" t="str">
        <f>RIGHT(Table248[[#This Row],[Output]],LEN(Table248[[#This Row],[Output]])-FIND("=",Table248[[#This Row],[Output]])-1)</f>
        <v>YES</v>
      </c>
      <c r="K44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4" s="11"/>
      <c r="N44" s="11"/>
    </row>
    <row r="45" spans="1:14" ht="16" thickTop="1" thickBot="1">
      <c r="A45" s="7" t="s">
        <v>32</v>
      </c>
      <c r="B45" s="2" t="str">
        <f>SUBSTITUTE(SUBSTITUTE(SUBSTITUTE(Table248[[#This Row],[Standard Attributes List]]," ",""),".",""),"-","")</f>
        <v>SETTINGDIFFERENTIALPRESSURERECOMMENDED(MIN)(PSI)</v>
      </c>
      <c r="C45" s="3" t="s">
        <v>434</v>
      </c>
      <c r="D45" s="3" t="str">
        <f>SUBSTITUTE(SUBSTITUTE(SUBSTITUTE(LEFT(Table248[[#This Row],[Reference]],FIND("=",Table248[[#This Row],[Reference]])-2)," ",""),".",""),"-","")</f>
        <v>SETTINGDIFFERENTIALPRESSURERECOMMENDED(MIN)(PSI)</v>
      </c>
      <c r="E45" s="3" t="str">
        <f>TRIM(RIGHT(Table248[[#This Row],[Reference]],LEN(Table248[[#This Row],[Reference]])-FIND("=",Table248[[#This Row],[Reference]])-1))</f>
        <v>SETTING TOOL[26.89^2]:1600</v>
      </c>
      <c r="F45" s="3" t="str">
        <f>VLOOKUP(Table248[[#This Row],[Column1]],D:E,2,FALSE)</f>
        <v>SETTING TOOL[26.89^2]:1600</v>
      </c>
      <c r="G45" s="3"/>
      <c r="H45" s="4" t="str">
        <f>CONCATENATE(Table248[[#This Row],[Standard Attributes List]]," = ",IF(Table248[[#This Row],[Overwrite Value]]="",Table248[[#This Row],[Ref. Value]],Table248[[#This Row],[Overwrite Value]]))</f>
        <v>SETTING DIFFERENTIAL PRESSURE - RECOMMENDED (MIN)(PSI) = SETTING TOOL[26.89^2]:1600</v>
      </c>
      <c r="I45" t="str">
        <f>IF(Table248[[#This Row],[Reference]]=Table248[[#This Row],[Output]],"OK","NG")</f>
        <v>OK</v>
      </c>
      <c r="J45" s="2" t="str">
        <f>RIGHT(Table248[[#This Row],[Output]],LEN(Table248[[#This Row],[Output]])-FIND("=",Table248[[#This Row],[Output]])-1)</f>
        <v>SETTING TOOL[26.89^2]:1600</v>
      </c>
      <c r="K45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5" s="11"/>
      <c r="N45" s="11"/>
    </row>
    <row r="46" spans="1:14" ht="16" thickTop="1" thickBot="1">
      <c r="A46" s="7" t="s">
        <v>221</v>
      </c>
      <c r="B46" s="2" t="str">
        <f>SUBSTITUTE(SUBSTITUTE(SUBSTITUTE(Table248[[#This Row],[Standard Attributes List]]," ",""),".",""),"-","")</f>
        <v>SETTINGFORCE(LB)</v>
      </c>
      <c r="C46" s="3" t="s">
        <v>345</v>
      </c>
      <c r="D46" s="3" t="str">
        <f>SUBSTITUTE(SUBSTITUTE(SUBSTITUTE(LEFT(Table248[[#This Row],[Reference]],FIND("=",Table248[[#This Row],[Reference]])-2)," ",""),".",""),"-","")</f>
        <v>SETTINGFORCE(LB)</v>
      </c>
      <c r="E46" s="3" t="str">
        <f>TRIM(RIGHT(Table248[[#This Row],[Reference]],LEN(Table248[[#This Row],[Reference]])-FIND("=",Table248[[#This Row],[Reference]])-1))</f>
        <v>SETTING TOOL:40000+AXIAL:20000</v>
      </c>
      <c r="F46" s="3" t="str">
        <f>VLOOKUP(Table248[[#This Row],[Column1]],D:E,2,FALSE)</f>
        <v>SETTING TOOL:40000+AXIAL:20000</v>
      </c>
      <c r="G46" s="3"/>
      <c r="H46" s="4" t="str">
        <f>CONCATENATE(Table248[[#This Row],[Standard Attributes List]]," = ",IF(Table248[[#This Row],[Overwrite Value]]="",Table248[[#This Row],[Ref. Value]],Table248[[#This Row],[Overwrite Value]]))</f>
        <v>SETTING FORCE (LB) = SETTING TOOL:40000+AXIAL:20000</v>
      </c>
      <c r="I46" t="str">
        <f>IF(Table248[[#This Row],[Reference]]=Table248[[#This Row],[Output]],"OK","NG")</f>
        <v>OK</v>
      </c>
      <c r="J46" s="2" t="str">
        <f>RIGHT(Table248[[#This Row],[Output]],LEN(Table248[[#This Row],[Output]])-FIND("=",Table248[[#This Row],[Output]])-1)</f>
        <v>SETTING TOOL:40000+AXIAL:20000</v>
      </c>
      <c r="K46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6" s="11"/>
      <c r="N46" s="11"/>
    </row>
    <row r="47" spans="1:14" ht="16" thickTop="1" thickBot="1">
      <c r="A47" s="7" t="s">
        <v>43</v>
      </c>
      <c r="B47" s="2" t="str">
        <f>SUBSTITUTE(SUBSTITUTE(SUBSTITUTE(Table248[[#This Row],[Standard Attributes List]]," ",""),".",""),"-","")</f>
        <v>SETTINGMETHOD</v>
      </c>
      <c r="C47" s="3" t="s">
        <v>223</v>
      </c>
      <c r="D47" s="3" t="str">
        <f>SUBSTITUTE(SUBSTITUTE(SUBSTITUTE(LEFT(Table248[[#This Row],[Reference]],FIND("=",Table248[[#This Row],[Reference]])-2)," ",""),".",""),"-","")</f>
        <v>SETTINGMETHOD</v>
      </c>
      <c r="E47" s="3" t="str">
        <f>TRIM(RIGHT(Table248[[#This Row],[Reference]],LEN(Table248[[#This Row],[Reference]])-FIND("=",Table248[[#This Row],[Reference]])-1))</f>
        <v>SERVICE TOOL</v>
      </c>
      <c r="F47" s="3" t="str">
        <f>VLOOKUP(Table248[[#This Row],[Column1]],D:E,2,FALSE)</f>
        <v>SERVICE TOOL</v>
      </c>
      <c r="G47" s="3"/>
      <c r="H47" s="4" t="str">
        <f>CONCATENATE(Table248[[#This Row],[Standard Attributes List]]," = ",IF(Table248[[#This Row],[Overwrite Value]]="",Table248[[#This Row],[Ref. Value]],Table248[[#This Row],[Overwrite Value]]))</f>
        <v>SETTING METHOD = SERVICE TOOL</v>
      </c>
      <c r="I47" t="str">
        <f>IF(Table248[[#This Row],[Reference]]=Table248[[#This Row],[Output]],"OK","NG")</f>
        <v>OK</v>
      </c>
      <c r="J47" s="2" t="str">
        <f>RIGHT(Table248[[#This Row],[Output]],LEN(Table248[[#This Row],[Output]])-FIND("=",Table248[[#This Row],[Output]])-1)</f>
        <v>SERVICE TOOL</v>
      </c>
      <c r="K47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7" s="11"/>
      <c r="N47" s="11"/>
    </row>
    <row r="48" spans="1:14" ht="16" thickTop="1" thickBot="1">
      <c r="A48" s="7" t="s">
        <v>224</v>
      </c>
      <c r="B48" s="2" t="str">
        <f>SUBSTITUTE(SUBSTITUTE(SUBSTITUTE(Table248[[#This Row],[Standard Attributes List]]," ",""),".",""),"-","")</f>
        <v>SHEARRELEASEFORCE(LB)</v>
      </c>
      <c r="C48" s="3" t="s">
        <v>346</v>
      </c>
      <c r="D48" s="3" t="str">
        <f>SUBSTITUTE(SUBSTITUTE(SUBSTITUTE(LEFT(Table248[[#This Row],[Reference]],FIND("=",Table248[[#This Row],[Reference]])-2)," ",""),".",""),"-","")</f>
        <v>SHEARRELEASEFORCE(LB)</v>
      </c>
      <c r="E48" s="3" t="str">
        <f>TRIM(RIGHT(Table248[[#This Row],[Reference]],LEN(Table248[[#This Row],[Reference]])-FIND("=",Table248[[#This Row],[Reference]])-1))</f>
        <v>20000</v>
      </c>
      <c r="F48" s="3" t="str">
        <f>VLOOKUP(Table248[[#This Row],[Column1]],D:E,2,FALSE)</f>
        <v>20000</v>
      </c>
      <c r="G48" s="3"/>
      <c r="H48" s="4" t="str">
        <f>CONCATENATE(Table248[[#This Row],[Standard Attributes List]]," = ",IF(Table248[[#This Row],[Overwrite Value]]="",Table248[[#This Row],[Ref. Value]],Table248[[#This Row],[Overwrite Value]]))</f>
        <v>SHEAR RELEASE FORCE (LB) = 20000</v>
      </c>
      <c r="I48" t="str">
        <f>IF(Table248[[#This Row],[Reference]]=Table248[[#This Row],[Output]],"OK","NG")</f>
        <v>OK</v>
      </c>
      <c r="J48" s="2" t="str">
        <f>RIGHT(Table248[[#This Row],[Output]],LEN(Table248[[#This Row],[Output]])-FIND("=",Table248[[#This Row],[Output]])-1)</f>
        <v>20000</v>
      </c>
      <c r="K48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49" spans="1:11" ht="16" thickTop="1" thickBot="1">
      <c r="A49" s="7" t="s">
        <v>13</v>
      </c>
      <c r="B49" s="2" t="str">
        <f>SUBSTITUTE(SUBSTITUTE(SUBSTITUTE(Table248[[#This Row],[Standard Attributes List]]," ",""),".",""),"-","")</f>
        <v>TENSILESTRENGTH(LBS)EOECATSPECIFIEDTEMP(F)</v>
      </c>
      <c r="C49" s="3" t="s">
        <v>529</v>
      </c>
      <c r="D49" s="3" t="str">
        <f>SUBSTITUTE(SUBSTITUTE(SUBSTITUTE(LEFT(Table248[[#This Row],[Reference]],FIND("=",Table248[[#This Row],[Reference]])-2)," ",""),".",""),"-","")</f>
        <v>TENSILESTRENGTH(LBS)EOECATSPECIFIEDTEMP(F)</v>
      </c>
      <c r="E49" s="3" t="str">
        <f>TRIM(RIGHT(Table248[[#This Row],[Reference]],LEN(Table248[[#This Row],[Reference]])-FIND("=",Table248[[#This Row],[Reference]])-1))</f>
        <v>140331[325]</v>
      </c>
      <c r="F49" s="3" t="str">
        <f>VLOOKUP(Table248[[#This Row],[Column1]],D:E,2,FALSE)</f>
        <v>140331[325]</v>
      </c>
      <c r="G49" s="3"/>
      <c r="H49" s="4" t="str">
        <f>CONCATENATE(Table248[[#This Row],[Standard Attributes List]]," = ",IF(Table248[[#This Row],[Overwrite Value]]="",Table248[[#This Row],[Ref. Value]],Table248[[#This Row],[Overwrite Value]]))</f>
        <v>TENSILE STRENGTH (LBS) - EOEC AT SPECIFIED TEMP (F) = 140331[325]</v>
      </c>
      <c r="I49" t="str">
        <f>IF(Table248[[#This Row],[Reference]]=Table248[[#This Row],[Output]],"OK","NG")</f>
        <v>OK</v>
      </c>
      <c r="J49" s="2" t="str">
        <f>RIGHT(Table248[[#This Row],[Output]],LEN(Table248[[#This Row],[Output]])-FIND("=",Table248[[#This Row],[Output]])-1)</f>
        <v>140331[325]</v>
      </c>
      <c r="K49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50" spans="1:11" ht="16" thickTop="1" thickBot="1">
      <c r="A50" s="7" t="s">
        <v>44</v>
      </c>
      <c r="B50" s="2" t="str">
        <f>SUBSTITUTE(SUBSTITUTE(SUBSTITUTE(Table248[[#This Row],[Standard Attributes List]]," ",""),".",""),"-","")</f>
        <v>TORQUECAPACITYEOEC(FTLBS)</v>
      </c>
      <c r="C50" s="3" t="s">
        <v>347</v>
      </c>
      <c r="D50" s="3" t="str">
        <f>SUBSTITUTE(SUBSTITUTE(SUBSTITUTE(LEFT(Table248[[#This Row],[Reference]],FIND("=",Table248[[#This Row],[Reference]])-2)," ",""),".",""),"-","")</f>
        <v>TORQUECAPACITYEOEC(FTLBS)</v>
      </c>
      <c r="E50" s="3" t="str">
        <f>TRIM(RIGHT(Table248[[#This Row],[Reference]],LEN(Table248[[#This Row],[Reference]])-FIND("=",Table248[[#This Row],[Reference]])-1))</f>
        <v>7000</v>
      </c>
      <c r="F50" s="3" t="str">
        <f>VLOOKUP(Table248[[#This Row],[Column1]],D:E,2,FALSE)</f>
        <v>7000</v>
      </c>
      <c r="G50" s="3"/>
      <c r="H50" s="4" t="str">
        <f>CONCATENATE(Table248[[#This Row],[Standard Attributes List]]," = ",IF(Table248[[#This Row],[Overwrite Value]]="",Table248[[#This Row],[Ref. Value]],Table248[[#This Row],[Overwrite Value]]))</f>
        <v>TORQUE CAPACITY - EOEC (FT-LBS) = 7000</v>
      </c>
      <c r="I50" t="str">
        <f>IF(Table248[[#This Row],[Reference]]=Table248[[#This Row],[Output]],"OK","NG")</f>
        <v>OK</v>
      </c>
      <c r="J50" s="2" t="str">
        <f>RIGHT(Table248[[#This Row],[Output]],LEN(Table248[[#This Row],[Output]])-FIND("=",Table248[[#This Row],[Output]])-1)</f>
        <v>7000</v>
      </c>
      <c r="K50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51" spans="1:11" ht="16" thickTop="1" thickBot="1">
      <c r="A51" s="7" t="s">
        <v>14</v>
      </c>
      <c r="B51" s="2" t="str">
        <f>SUBSTITUTE(SUBSTITUTE(SUBSTITUTE(Table248[[#This Row],[Standard Attributes List]]," ",""),".",""),"-","")</f>
        <v>UPPERTHREADCONNECTINGSIZE(IN),WT(PPF),TYPE,CONFIG</v>
      </c>
      <c r="C51" s="3" t="s">
        <v>348</v>
      </c>
      <c r="D51" s="3" t="str">
        <f>SUBSTITUTE(SUBSTITUTE(SUBSTITUTE(LEFT(Table248[[#This Row],[Reference]],FIND("=",Table248[[#This Row],[Reference]])-2)," ",""),".",""),"-","")</f>
        <v>UPPERTHREADCONNECTINGSIZE(IN),WT(PPF),TYPE,CONFIG</v>
      </c>
      <c r="E51" s="3" t="str">
        <f>TRIM(RIGHT(Table248[[#This Row],[Reference]],LEN(Table248[[#This Row],[Reference]])-FIND("=",Table248[[#This Row],[Reference]])-1))</f>
        <v>4.500, 4, LEFT HAND SQUARE, BOX</v>
      </c>
      <c r="F51" s="3" t="str">
        <f>VLOOKUP(Table248[[#This Row],[Column1]],D:E,2,FALSE)</f>
        <v>4.500, 4, LEFT HAND SQUARE, BOX</v>
      </c>
      <c r="G51" s="3"/>
      <c r="H51" s="4" t="str">
        <f>CONCATENATE(Table248[[#This Row],[Standard Attributes List]]," = ",IF(Table248[[#This Row],[Overwrite Value]]="",Table248[[#This Row],[Ref. Value]],Table248[[#This Row],[Overwrite Value]]))</f>
        <v>UPPER THREAD CONNECTING - SIZE (IN), WT (PPF), TYPE, CONFIG = 4.500, 4, LEFT HAND SQUARE, BOX</v>
      </c>
      <c r="I51" t="str">
        <f>IF(Table248[[#This Row],[Reference]]=Table248[[#This Row],[Output]],"OK","NG")</f>
        <v>OK</v>
      </c>
      <c r="J51" s="2" t="str">
        <f>RIGHT(Table248[[#This Row],[Output]],LEN(Table248[[#This Row],[Output]])-FIND("=",Table248[[#This Row],[Output]])-1)</f>
        <v>4.500, 4, LEFT HAND SQUARE, BOX</v>
      </c>
      <c r="K51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52" spans="1:11" ht="15" thickTop="1"/>
  </sheetData>
  <phoneticPr fontId="27" type="noConversion"/>
  <conditionalFormatting sqref="H2">
    <cfRule type="expression" dxfId="14" priority="4">
      <formula>ISERROR($H2)</formula>
    </cfRule>
  </conditionalFormatting>
  <conditionalFormatting sqref="H52:I61 H3:H51">
    <cfRule type="expression" dxfId="13" priority="3">
      <formula>ISERROR($H3)</formula>
    </cfRule>
  </conditionalFormatting>
  <conditionalFormatting sqref="I2">
    <cfRule type="expression" dxfId="12" priority="2">
      <formula>$I2="OK"</formula>
    </cfRule>
  </conditionalFormatting>
  <conditionalFormatting sqref="I3:I51">
    <cfRule type="expression" dxfId="11" priority="1">
      <formula>$I3="OK"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61"/>
  <sheetViews>
    <sheetView zoomScale="55" zoomScaleNormal="55" workbookViewId="0">
      <selection activeCell="F18" sqref="F18"/>
    </sheetView>
  </sheetViews>
  <sheetFormatPr baseColWidth="10" defaultColWidth="8.83203125" defaultRowHeight="14"/>
  <cols>
    <col min="1" max="1" width="62.83203125" customWidth="1"/>
    <col min="2" max="2" width="62.83203125" hidden="1" customWidth="1"/>
    <col min="3" max="3" width="58.1640625" customWidth="1"/>
    <col min="4" max="4" width="27" hidden="1" customWidth="1"/>
    <col min="5" max="5" width="86.33203125" hidden="1" customWidth="1"/>
    <col min="6" max="6" width="36.6640625" customWidth="1"/>
    <col min="7" max="7" width="32.1640625" customWidth="1"/>
    <col min="8" max="8" width="25.33203125" bestFit="1" customWidth="1"/>
    <col min="9" max="9" width="85.1640625" bestFit="1" customWidth="1"/>
    <col min="10" max="10" width="23" customWidth="1"/>
    <col min="11" max="11" width="26.5" bestFit="1" customWidth="1"/>
    <col min="15" max="15" width="11" customWidth="1"/>
  </cols>
  <sheetData>
    <row r="1" spans="1:11" ht="15" thickBot="1">
      <c r="A1" s="5" t="s">
        <v>34</v>
      </c>
      <c r="B1" s="1" t="s">
        <v>310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6" thickTop="1" thickBot="1">
      <c r="A2" s="7" t="s">
        <v>0</v>
      </c>
      <c r="B2" s="2" t="str">
        <f>SUBSTITUTE(SUBSTITUTE(SUBSTITUTE(Table246[[#This Row],[Standard Attributes List]]," ",""),".",""),"-","")</f>
        <v>ACTIVEFLOWWETTEDMATERIALYIELDSTRENGTH(KSI)</v>
      </c>
      <c r="C2" s="3" t="s">
        <v>312</v>
      </c>
      <c r="D2" s="3" t="str">
        <f>SUBSTITUTE(SUBSTITUTE(SUBSTITUTE(LEFT(Table246[[#This Row],[Reference]],FIND("=",Table246[[#This Row],[Reference]])-2)," ",""),".",""),"-","")</f>
        <v>ACTIVEFLOWWETTEDMATERIALYIELDSTRENGTH(KSI)</v>
      </c>
      <c r="E2" s="22" t="str">
        <f>TRIM(RIGHT(Table246[[#This Row],[Reference]],LEN(Table246[[#This Row],[Reference]])-FIND("=",Table246[[#This Row],[Reference]])-1))</f>
        <v>4130/4140/4145[80]</v>
      </c>
      <c r="F2" s="3" t="str">
        <f>VLOOKUP(Table246[[#This Row],[Condensed Value]],D:E,2,FALSE)</f>
        <v>4130/4140/4145[80]</v>
      </c>
      <c r="G2" s="3"/>
      <c r="H2" s="4" t="str">
        <f>CONCATENATE(Table246[[#This Row],[Standard Attributes List]]," = ",IF(Table246[[#This Row],[Overwrite Value]]="",Table246[[#This Row],[Ref. Value]],Table246[[#This Row],[Overwrite Value]]))</f>
        <v>ACTIVE FLOW WETTED MATERIAL - YIELD STRENGTH (KSI) = 4130/4140/4145[80]</v>
      </c>
      <c r="I2" t="str">
        <f>IF(Table246[[#This Row],[Reference]]=Table246[[#This Row],[Output]],"OK","NG")</f>
        <v>OK</v>
      </c>
      <c r="J2" s="2" t="str">
        <f>RIGHT(Table246[[#This Row],[Output]],LEN(Table246[[#This Row],[Output]])-FIND("=",Table246[[#This Row],[Output]])-1)</f>
        <v>4130/4140/4145[80]</v>
      </c>
      <c r="K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" spans="1:11" ht="16" thickTop="1" thickBot="1">
      <c r="A3" s="7" t="s">
        <v>1</v>
      </c>
      <c r="B3" s="2" t="str">
        <f>SUBSTITUTE(SUBSTITUTE(SUBSTITUTE(Table246[[#This Row],[Standard Attributes List]]," ",""),".",""),"-","")</f>
        <v>APPROXIMATEWEIGHT(LBS)</v>
      </c>
      <c r="C3" s="3" t="s">
        <v>313</v>
      </c>
      <c r="D3" s="3" t="str">
        <f>SUBSTITUTE(SUBSTITUTE(SUBSTITUTE(LEFT(Table246[[#This Row],[Reference]],FIND("=",Table246[[#This Row],[Reference]])-2)," ",""),".",""),"-","")</f>
        <v>APPROXIMATEWEIGHT(LBS)</v>
      </c>
      <c r="E3" s="22" t="str">
        <f>TRIM(RIGHT(Table246[[#This Row],[Reference]],LEN(Table246[[#This Row],[Reference]])-FIND("=",Table246[[#This Row],[Reference]])-1))</f>
        <v>840</v>
      </c>
      <c r="F3" s="3" t="str">
        <f>VLOOKUP(Table246[[#This Row],[Condensed Value]],D:E,2,FALSE)</f>
        <v>840</v>
      </c>
      <c r="G3" s="3"/>
      <c r="H3" s="4" t="str">
        <f>CONCATENATE(Table246[[#This Row],[Standard Attributes List]]," = ",IF(Table246[[#This Row],[Overwrite Value]]="",Table246[[#This Row],[Ref. Value]],Table246[[#This Row],[Overwrite Value]]))</f>
        <v>APPROXIMATE WEIGHT (LBS) = 840</v>
      </c>
      <c r="I3" t="str">
        <f>IF(Table246[[#This Row],[Reference]]=Table246[[#This Row],[Output]],"OK","NG")</f>
        <v>OK</v>
      </c>
      <c r="J3" s="2" t="str">
        <f>RIGHT(Table246[[#This Row],[Output]],LEN(Table246[[#This Row],[Output]])-FIND("=",Table246[[#This Row],[Output]])-1)</f>
        <v>840</v>
      </c>
      <c r="K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4" spans="1:11" ht="16" thickTop="1" thickBot="1">
      <c r="A4" s="7" t="s">
        <v>15</v>
      </c>
      <c r="B4" s="2" t="str">
        <f>SUBSTITUTE(SUBSTITUTE(SUBSTITUTE(Table246[[#This Row],[Standard Attributes List]]," ",""),".",""),"-","")</f>
        <v>CASINGSIZE(IN)</v>
      </c>
      <c r="C4" s="3" t="s">
        <v>183</v>
      </c>
      <c r="D4" s="3" t="str">
        <f>SUBSTITUTE(SUBSTITUTE(SUBSTITUTE(LEFT(Table246[[#This Row],[Reference]],FIND("=",Table246[[#This Row],[Reference]])-2)," ",""),".",""),"-","")</f>
        <v>CASINGSIZE(IN)</v>
      </c>
      <c r="E4" s="22" t="str">
        <f>TRIM(RIGHT(Table246[[#This Row],[Reference]],LEN(Table246[[#This Row],[Reference]])-FIND("=",Table246[[#This Row],[Reference]])-1))</f>
        <v>9-5/8</v>
      </c>
      <c r="F4" s="3" t="str">
        <f>VLOOKUP(Table246[[#This Row],[Condensed Value]],D:E,2,FALSE)</f>
        <v>9-5/8</v>
      </c>
      <c r="G4" s="3"/>
      <c r="H4" s="4" t="str">
        <f>CONCATENATE(Table246[[#This Row],[Standard Attributes List]]," = ",IF(Table246[[#This Row],[Overwrite Value]]="",Table246[[#This Row],[Ref. Value]],Table246[[#This Row],[Overwrite Value]]))</f>
        <v>CASING SIZE (IN) = 9-5/8</v>
      </c>
      <c r="I4" t="str">
        <f>IF(Table246[[#This Row],[Reference]]=Table246[[#This Row],[Output]],"OK","NG")</f>
        <v>OK</v>
      </c>
      <c r="J4" s="2" t="str">
        <f>RIGHT(Table246[[#This Row],[Output]],LEN(Table246[[#This Row],[Output]])-FIND("=",Table246[[#This Row],[Output]])-1)</f>
        <v>9-5/8</v>
      </c>
      <c r="K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" spans="1:11" ht="16" thickTop="1" thickBot="1">
      <c r="A5" s="7" t="s">
        <v>16</v>
      </c>
      <c r="B5" s="2" t="str">
        <f>SUBSTITUTE(SUBSTITUTE(SUBSTITUTE(Table246[[#This Row],[Standard Attributes List]]," ",""),".",""),"-","")</f>
        <v>CASINGWEIGHTRANGE(PPF)</v>
      </c>
      <c r="C5" s="3" t="s">
        <v>314</v>
      </c>
      <c r="D5" s="3" t="str">
        <f>SUBSTITUTE(SUBSTITUTE(SUBSTITUTE(LEFT(Table246[[#This Row],[Reference]],FIND("=",Table246[[#This Row],[Reference]])-2)," ",""),".",""),"-","")</f>
        <v>CASINGWEIGHTRANGE(PPF)</v>
      </c>
      <c r="E5" s="22" t="str">
        <f>TRIM(RIGHT(Table246[[#This Row],[Reference]],LEN(Table246[[#This Row],[Reference]])-FIND("=",Table246[[#This Row],[Reference]])-1))</f>
        <v>40-47</v>
      </c>
      <c r="F5" s="3" t="str">
        <f>VLOOKUP(Table246[[#This Row],[Condensed Value]],D:E,2,FALSE)</f>
        <v>40-47</v>
      </c>
      <c r="G5" s="3"/>
      <c r="H5" s="4" t="str">
        <f>CONCATENATE(Table246[[#This Row],[Standard Attributes List]]," = ",IF(Table246[[#This Row],[Overwrite Value]]="",Table246[[#This Row],[Ref. Value]],Table246[[#This Row],[Overwrite Value]]))</f>
        <v>CASING WEIGHT RANGE (PPF) = 40-47</v>
      </c>
      <c r="I5" t="str">
        <f>IF(Table246[[#This Row],[Reference]]=Table246[[#This Row],[Output]],"OK","NG")</f>
        <v>OK</v>
      </c>
      <c r="J5" s="2" t="str">
        <f>RIGHT(Table246[[#This Row],[Output]],LEN(Table246[[#This Row],[Output]])-FIND("=",Table246[[#This Row],[Output]])-1)</f>
        <v>40-47</v>
      </c>
      <c r="K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6" spans="1:11" ht="16" thickTop="1" thickBot="1">
      <c r="A6" s="7" t="s">
        <v>17</v>
      </c>
      <c r="B6" s="2" t="str">
        <f>SUBSTITUTE(SUBSTITUTE(SUBSTITUTE(Table246[[#This Row],[Standard Attributes List]]," ",""),".",""),"-","")</f>
        <v>CERTIFICATIONSTATUS</v>
      </c>
      <c r="C6" s="3" t="s">
        <v>308</v>
      </c>
      <c r="D6" s="3" t="str">
        <f>SUBSTITUTE(SUBSTITUTE(SUBSTITUTE(LEFT(Table246[[#This Row],[Reference]],FIND("=",Table246[[#This Row],[Reference]])-2)," ",""),".",""),"-","")</f>
        <v>CERTIFICATIONSTATUS</v>
      </c>
      <c r="E6" s="22" t="str">
        <f>TRIM(RIGHT(Table246[[#This Row],[Reference]],LEN(Table246[[#This Row],[Reference]])-FIND("=",Table246[[#This Row],[Reference]])-1))</f>
        <v>ISO-V3[150-250F]</v>
      </c>
      <c r="F6" s="3" t="str">
        <f>VLOOKUP(Table246[[#This Row],[Condensed Value]],D:E,2,FALSE)</f>
        <v>ISO-V3[150-250F]</v>
      </c>
      <c r="G6" s="3"/>
      <c r="H6" s="4" t="str">
        <f>CONCATENATE(Table246[[#This Row],[Standard Attributes List]]," = ",IF(Table246[[#This Row],[Overwrite Value]]="",Table246[[#This Row],[Ref. Value]],Table246[[#This Row],[Overwrite Value]]))</f>
        <v>CERTIFICATION STATUS = ISO-V3[150-250F]</v>
      </c>
      <c r="I6" t="str">
        <f>IF(Table246[[#This Row],[Reference]]=Table246[[#This Row],[Output]],"OK","NG")</f>
        <v>OK</v>
      </c>
      <c r="J6" s="2" t="str">
        <f>RIGHT(Table246[[#This Row],[Output]],LEN(Table246[[#This Row],[Output]])-FIND("=",Table246[[#This Row],[Output]])-1)</f>
        <v>ISO-V3[150-250F]</v>
      </c>
      <c r="K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7" spans="1:11" ht="16" thickTop="1" thickBot="1">
      <c r="A7" s="7" t="s">
        <v>36</v>
      </c>
      <c r="B7" s="2" t="str">
        <f>SUBSTITUTE(SUBSTITUTE(SUBSTITUTE(Table246[[#This Row],[Standard Attributes List]]," ",""),".",""),"-","")</f>
        <v>CONVEYANCEMETHOD</v>
      </c>
      <c r="C7" s="3" t="s">
        <v>69</v>
      </c>
      <c r="D7" s="3" t="str">
        <f>SUBSTITUTE(SUBSTITUTE(SUBSTITUTE(LEFT(Table246[[#This Row],[Reference]],FIND("=",Table246[[#This Row],[Reference]])-2)," ",""),".",""),"-","")</f>
        <v>CONVEYANCEMETHOD</v>
      </c>
      <c r="E7" s="22" t="str">
        <f>TRIM(RIGHT(Table246[[#This Row],[Reference]],LEN(Table246[[#This Row],[Reference]])-FIND("=",Table246[[#This Row],[Reference]])-1))</f>
        <v>TUBING</v>
      </c>
      <c r="F7" s="3" t="str">
        <f>VLOOKUP(Table246[[#This Row],[Condensed Value]],D:E,2,FALSE)</f>
        <v>TUBING</v>
      </c>
      <c r="G7" s="3"/>
      <c r="H7" s="4" t="str">
        <f>CONCATENATE(Table246[[#This Row],[Standard Attributes List]]," = ",IF(Table246[[#This Row],[Overwrite Value]]="",Table246[[#This Row],[Ref. Value]],Table246[[#This Row],[Overwrite Value]]))</f>
        <v>CONVEYANCE METHOD = TUBING</v>
      </c>
      <c r="I7" t="str">
        <f>IF(Table246[[#This Row],[Reference]]=Table246[[#This Row],[Output]],"OK","NG")</f>
        <v>OK</v>
      </c>
      <c r="J7" s="2" t="str">
        <f>RIGHT(Table246[[#This Row],[Output]],LEN(Table246[[#This Row],[Output]])-FIND("=",Table246[[#This Row],[Output]])-1)</f>
        <v>TUBING</v>
      </c>
      <c r="K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8" spans="1:11" ht="16" thickTop="1" thickBot="1">
      <c r="A8" s="7" t="s">
        <v>18</v>
      </c>
      <c r="B8" s="2" t="str">
        <f>SUBSTITUTE(SUBSTITUTE(SUBSTITUTE(Table246[[#This Row],[Standard Attributes List]]," ",""),".",""),"-","")</f>
        <v>DIFFERENTIALPRESSURERATING(PSI)</v>
      </c>
      <c r="C8" s="3" t="s">
        <v>287</v>
      </c>
      <c r="D8" s="3" t="str">
        <f>SUBSTITUTE(SUBSTITUTE(SUBSTITUTE(LEFT(Table246[[#This Row],[Reference]],FIND("=",Table246[[#This Row],[Reference]])-2)," ",""),".",""),"-","")</f>
        <v>DIFFERENTIALPRESSURERATING(PSI)</v>
      </c>
      <c r="E8" s="22" t="str">
        <f>TRIM(RIGHT(Table246[[#This Row],[Reference]],LEN(Table246[[#This Row],[Reference]])-FIND("=",Table246[[#This Row],[Reference]])-1))</f>
        <v>5000</v>
      </c>
      <c r="F8" s="3" t="str">
        <f>VLOOKUP(Table246[[#This Row],[Condensed Value]],D:E,2,FALSE)</f>
        <v>5000</v>
      </c>
      <c r="G8" s="3"/>
      <c r="H8" s="4" t="str">
        <f>CONCATENATE(Table246[[#This Row],[Standard Attributes List]]," = ",IF(Table246[[#This Row],[Overwrite Value]]="",Table246[[#This Row],[Ref. Value]],Table246[[#This Row],[Overwrite Value]]))</f>
        <v>DIFFERENTIAL PRESSURE RATING (PSI) = 5000</v>
      </c>
      <c r="I8" t="str">
        <f>IF(Table246[[#This Row],[Reference]]=Table246[[#This Row],[Output]],"OK","NG")</f>
        <v>OK</v>
      </c>
      <c r="J8" s="2" t="str">
        <f>RIGHT(Table246[[#This Row],[Output]],LEN(Table246[[#This Row],[Output]])-FIND("=",Table246[[#This Row],[Output]])-1)</f>
        <v>5000</v>
      </c>
      <c r="K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9" spans="1:11" ht="16" thickTop="1" thickBot="1">
      <c r="A9" s="7" t="s">
        <v>19</v>
      </c>
      <c r="B9" s="2" t="str">
        <f>SUBSTITUTE(SUBSTITUTE(SUBSTITUTE(Table246[[#This Row],[Standard Attributes List]]," ",""),".",""),"-","")</f>
        <v>DIFFERENTIALRATINGISOLATED(PSI)</v>
      </c>
      <c r="C9" s="3" t="s">
        <v>288</v>
      </c>
      <c r="D9" s="3" t="str">
        <f>SUBSTITUTE(SUBSTITUTE(SUBSTITUTE(LEFT(Table246[[#This Row],[Reference]],FIND("=",Table246[[#This Row],[Reference]])-2)," ",""),".",""),"-","")</f>
        <v>DIFFERENTIALRATINGISOLATED(PSI)</v>
      </c>
      <c r="E9" s="22" t="str">
        <f>TRIM(RIGHT(Table246[[#This Row],[Reference]],LEN(Table246[[#This Row],[Reference]])-FIND("=",Table246[[#This Row],[Reference]])-1))</f>
        <v>4500</v>
      </c>
      <c r="F9" s="3" t="str">
        <f>VLOOKUP(Table246[[#This Row],[Condensed Value]],D:E,2,FALSE)</f>
        <v>4500</v>
      </c>
      <c r="G9" s="3"/>
      <c r="H9" s="4" t="str">
        <f>CONCATENATE(Table246[[#This Row],[Standard Attributes List]]," = ",IF(Table246[[#This Row],[Overwrite Value]]="",Table246[[#This Row],[Ref. Value]],Table246[[#This Row],[Overwrite Value]]))</f>
        <v>DIFFERENTIAL RATING ISOLATED (PSI) = 4500</v>
      </c>
      <c r="I9" t="str">
        <f>IF(Table246[[#This Row],[Reference]]=Table246[[#This Row],[Output]],"OK","NG")</f>
        <v>OK</v>
      </c>
      <c r="J9" s="2" t="str">
        <f>RIGHT(Table246[[#This Row],[Output]],LEN(Table246[[#This Row],[Output]])-FIND("=",Table246[[#This Row],[Output]])-1)</f>
        <v>4500</v>
      </c>
      <c r="K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0" spans="1:11" ht="16" thickTop="1" thickBot="1">
      <c r="A10" s="7" t="s">
        <v>20</v>
      </c>
      <c r="B10" s="2" t="str">
        <f>SUBSTITUTE(SUBSTITUTE(SUBSTITUTE(Table246[[#This Row],[Standard Attributes List]]," ",""),".",""),"-","")</f>
        <v>DIFFERENTIALRATINGPLUGGED(PSI)</v>
      </c>
      <c r="C10" s="3" t="s">
        <v>191</v>
      </c>
      <c r="D10" s="3" t="str">
        <f>SUBSTITUTE(SUBSTITUTE(SUBSTITUTE(LEFT(Table246[[#This Row],[Reference]],FIND("=",Table246[[#This Row],[Reference]])-2)," ",""),".",""),"-","")</f>
        <v>DIFFERENTIALRATINGPLUGGED(PSI)</v>
      </c>
      <c r="E10" s="22" t="str">
        <f>TRIM(RIGHT(Table246[[#This Row],[Reference]],LEN(Table246[[#This Row],[Reference]])-FIND("=",Table246[[#This Row],[Reference]])-1))</f>
        <v>NA</v>
      </c>
      <c r="F10" s="3" t="str">
        <f>VLOOKUP(Table246[[#This Row],[Condensed Value]],D:E,2,FALSE)</f>
        <v>NA</v>
      </c>
      <c r="G10" s="3"/>
      <c r="H10" s="4" t="str">
        <f>CONCATENATE(Table246[[#This Row],[Standard Attributes List]]," = ",IF(Table246[[#This Row],[Overwrite Value]]="",Table246[[#This Row],[Ref. Value]],Table246[[#This Row],[Overwrite Value]]))</f>
        <v>DIFFERENTIAL RATING PLUGGED (PSI) = NA</v>
      </c>
      <c r="I10" t="str">
        <f>IF(Table246[[#This Row],[Reference]]=Table246[[#This Row],[Output]],"OK","NG")</f>
        <v>OK</v>
      </c>
      <c r="J10" s="2" t="str">
        <f>RIGHT(Table246[[#This Row],[Output]],LEN(Table246[[#This Row],[Output]])-FIND("=",Table246[[#This Row],[Output]])-1)</f>
        <v>NA</v>
      </c>
      <c r="K1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1" spans="1:11" ht="16" thickTop="1" thickBot="1">
      <c r="A11" s="7" t="s">
        <v>37</v>
      </c>
      <c r="B11" s="2" t="str">
        <f>SUBSTITUTE(SUBSTITUTE(SUBSTITUTE(Table246[[#This Row],[Standard Attributes List]]," ",""),".",""),"-","")</f>
        <v>DIFFERENTIALRATINGUNPLUGGED(PSI)</v>
      </c>
      <c r="C11" s="3" t="s">
        <v>315</v>
      </c>
      <c r="D11" s="3" t="str">
        <f>SUBSTITUTE(SUBSTITUTE(SUBSTITUTE(LEFT(Table246[[#This Row],[Reference]],FIND("=",Table246[[#This Row],[Reference]])-2)," ",""),".",""),"-","")</f>
        <v>DIFFERENTIALRATINGUNPLUGGED(PSI)</v>
      </c>
      <c r="E11" s="22" t="str">
        <f>TRIM(RIGHT(Table246[[#This Row],[Reference]],LEN(Table246[[#This Row],[Reference]])-FIND("=",Table246[[#This Row],[Reference]])-1))</f>
        <v>5000</v>
      </c>
      <c r="F11" s="3" t="str">
        <f>VLOOKUP(Table246[[#This Row],[Condensed Value]],D:E,2,FALSE)</f>
        <v>5000</v>
      </c>
      <c r="G11" s="6"/>
      <c r="H11" s="4" t="str">
        <f>CONCATENATE(Table246[[#This Row],[Standard Attributes List]]," = ",IF(Table246[[#This Row],[Overwrite Value]]="",Table246[[#This Row],[Ref. Value]],Table246[[#This Row],[Overwrite Value]]))</f>
        <v>DIFFERENTIAL RATING UNPLUGGED (PSI) = 5000</v>
      </c>
      <c r="I11" t="str">
        <f>IF(Table246[[#This Row],[Reference]]=Table246[[#This Row],[Output]],"OK","NG")</f>
        <v>OK</v>
      </c>
      <c r="J11" s="2" t="str">
        <f>RIGHT(Table246[[#This Row],[Output]],LEN(Table246[[#This Row],[Output]])-FIND("=",Table246[[#This Row],[Output]])-1)</f>
        <v>5000</v>
      </c>
      <c r="K11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2" spans="1:11" ht="16" thickTop="1" thickBot="1">
      <c r="A12" s="7" t="s">
        <v>2</v>
      </c>
      <c r="B12" s="2" t="str">
        <f>SUBSTITUTE(SUBSTITUTE(SUBSTITUTE(Table246[[#This Row],[Standard Attributes List]]," ",""),".",""),"-","")</f>
        <v>EXTERNALWORKINGPRESSURE(PSI)EOECATSPECIFIEDTEMP(F)</v>
      </c>
      <c r="C12" s="3" t="s">
        <v>316</v>
      </c>
      <c r="D12" s="3" t="str">
        <f>SUBSTITUTE(SUBSTITUTE(SUBSTITUTE(LEFT(Table246[[#This Row],[Reference]],FIND("=",Table246[[#This Row],[Reference]])-2)," ",""),".",""),"-","")</f>
        <v>EXTERNALWORKINGPRESSURE(PSI)EOECATSPECIFIEDTEMP(F)</v>
      </c>
      <c r="E12" s="22" t="str">
        <f>TRIM(RIGHT(Table246[[#This Row],[Reference]],LEN(Table246[[#This Row],[Reference]])-FIND("=",Table246[[#This Row],[Reference]])-1))</f>
        <v>4500[250]</v>
      </c>
      <c r="F12" s="3" t="str">
        <f>VLOOKUP(Table246[[#This Row],[Condensed Value]],D:E,2,FALSE)</f>
        <v>4500[250]</v>
      </c>
      <c r="G12" s="3"/>
      <c r="H12" s="4" t="str">
        <f>CONCATENATE(Table246[[#This Row],[Standard Attributes List]]," = ",IF(Table246[[#This Row],[Overwrite Value]]="",Table246[[#This Row],[Ref. Value]],Table246[[#This Row],[Overwrite Value]]))</f>
        <v>EXTERNAL WORKING PRESSURE (PSI) - EOEC AT SPECIFIED TEMP (F) = 4500[250]</v>
      </c>
      <c r="I12" t="str">
        <f>IF(Table246[[#This Row],[Reference]]=Table246[[#This Row],[Output]],"OK","NG")</f>
        <v>OK</v>
      </c>
      <c r="J12" s="2" t="str">
        <f>RIGHT(Table246[[#This Row],[Output]],LEN(Table246[[#This Row],[Output]])-FIND("=",Table246[[#This Row],[Output]])-1)</f>
        <v>4500[250]</v>
      </c>
      <c r="K1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3" spans="1:11" ht="16" thickTop="1" thickBot="1">
      <c r="A13" s="7" t="s">
        <v>231</v>
      </c>
      <c r="B13" s="2" t="str">
        <f>SUBSTITUTE(SUBSTITUTE(SUBSTITUTE(Table246[[#This Row],[Standard Attributes List]]," ",""),".",""),"-","")</f>
        <v>FEEDTHROUGH</v>
      </c>
      <c r="C13" s="3" t="s">
        <v>317</v>
      </c>
      <c r="D13" s="3" t="str">
        <f>SUBSTITUTE(SUBSTITUTE(SUBSTITUTE(LEFT(Table246[[#This Row],[Reference]],FIND("=",Table246[[#This Row],[Reference]])-2)," ",""),".",""),"-","")</f>
        <v>FEEDTHROUGH</v>
      </c>
      <c r="E13" s="22" t="str">
        <f>TRIM(RIGHT(Table246[[#This Row],[Reference]],LEN(Table246[[#This Row],[Reference]])-FIND("=",Table246[[#This Row],[Reference]])-1))</f>
        <v>2 X 3/8 NPT, 1 X 1-1/4 NPT</v>
      </c>
      <c r="F13" s="3" t="str">
        <f>VLOOKUP(Table246[[#This Row],[Condensed Value]],D:E,2,FALSE)</f>
        <v>2 X 3/8 NPT, 1 X 1-1/4 NPT</v>
      </c>
      <c r="G13" s="3"/>
      <c r="H13" s="4" t="str">
        <f>CONCATENATE(Table246[[#This Row],[Standard Attributes List]]," = ",IF(Table246[[#This Row],[Overwrite Value]]="",Table246[[#This Row],[Ref. Value]],Table246[[#This Row],[Overwrite Value]]))</f>
        <v>FEED THROUGH = 2 X 3/8 NPT, 1 X 1-1/4 NPT</v>
      </c>
      <c r="I13" t="str">
        <f>IF(Table246[[#This Row],[Reference]]=Table246[[#This Row],[Output]],"OK","NG")</f>
        <v>OK</v>
      </c>
      <c r="J13" s="2" t="str">
        <f>RIGHT(Table246[[#This Row],[Output]],LEN(Table246[[#This Row],[Output]])-FIND("=",Table246[[#This Row],[Output]])-1)</f>
        <v>2 X 3/8 NPT, 1 X 1-1/4 NPT</v>
      </c>
      <c r="K1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4" spans="1:11" ht="16" thickTop="1" thickBot="1">
      <c r="A14" s="7" t="s">
        <v>234</v>
      </c>
      <c r="B14" s="2" t="str">
        <f>SUBSTITUTE(SUBSTITUTE(SUBSTITUTE(Table246[[#This Row],[Standard Attributes List]]," ",""),".",""),"-","")</f>
        <v>IDDRIFTPRIMARY(IN)</v>
      </c>
      <c r="C14" s="3" t="s">
        <v>307</v>
      </c>
      <c r="D14" s="3" t="str">
        <f>SUBSTITUTE(SUBSTITUTE(SUBSTITUTE(LEFT(Table246[[#This Row],[Reference]],FIND("=",Table246[[#This Row],[Reference]])-2)," ",""),".",""),"-","")</f>
        <v>IDDRIFTPRIMARY(IN)</v>
      </c>
      <c r="E14" s="22" t="str">
        <f>TRIM(RIGHT(Table246[[#This Row],[Reference]],LEN(Table246[[#This Row],[Reference]])-FIND("=",Table246[[#This Row],[Reference]])-1))</f>
        <v>2.867</v>
      </c>
      <c r="F14" s="3" t="str">
        <f>VLOOKUP(Table246[[#This Row],[Condensed Value]],D:E,2,FALSE)</f>
        <v>2.867</v>
      </c>
      <c r="G14" s="3"/>
      <c r="H14" s="4" t="str">
        <f>CONCATENATE(Table246[[#This Row],[Standard Attributes List]]," = ",IF(Table246[[#This Row],[Overwrite Value]]="",Table246[[#This Row],[Ref. Value]],Table246[[#This Row],[Overwrite Value]]))</f>
        <v>I.D. - DRIFT PRIMARY (IN) = 2.867</v>
      </c>
      <c r="I14" t="str">
        <f>IF(Table246[[#This Row],[Reference]]=Table246[[#This Row],[Output]],"OK","NG")</f>
        <v>OK</v>
      </c>
      <c r="J14" s="2" t="str">
        <f>RIGHT(Table246[[#This Row],[Output]],LEN(Table246[[#This Row],[Output]])-FIND("=",Table246[[#This Row],[Output]])-1)</f>
        <v>2.867</v>
      </c>
      <c r="K1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5" spans="1:11" ht="16" thickTop="1" thickBot="1">
      <c r="A15" s="7" t="s">
        <v>235</v>
      </c>
      <c r="B15" s="2" t="str">
        <f>SUBSTITUTE(SUBSTITUTE(SUBSTITUTE(Table246[[#This Row],[Standard Attributes List]]," ",""),".",""),"-","")</f>
        <v>IDDRIFTSECONDARY(IN)</v>
      </c>
      <c r="C15" s="3" t="s">
        <v>301</v>
      </c>
      <c r="D15" s="3" t="str">
        <f>SUBSTITUTE(SUBSTITUTE(SUBSTITUTE(LEFT(Table246[[#This Row],[Reference]],FIND("=",Table246[[#This Row],[Reference]])-2)," ",""),".",""),"-","")</f>
        <v>IDDRIFTSECONDARY(IN)</v>
      </c>
      <c r="E15" s="22" t="str">
        <f>TRIM(RIGHT(Table246[[#This Row],[Reference]],LEN(Table246[[#This Row],[Reference]])-FIND("=",Table246[[#This Row],[Reference]])-1))</f>
        <v>2.059</v>
      </c>
      <c r="F15" s="3" t="str">
        <f>VLOOKUP(Table246[[#This Row],[Condensed Value]],D:E,2,FALSE)</f>
        <v>2.059</v>
      </c>
      <c r="G15" s="8"/>
      <c r="H15" s="4" t="str">
        <f>CONCATENATE(Table246[[#This Row],[Standard Attributes List]]," = ",IF(Table246[[#This Row],[Overwrite Value]]="",Table246[[#This Row],[Ref. Value]],Table246[[#This Row],[Overwrite Value]]))</f>
        <v>I.D. - DRIFT SECONDARY (IN) = 2.059</v>
      </c>
      <c r="I15" t="str">
        <f>IF(Table246[[#This Row],[Reference]]=Table246[[#This Row],[Output]],"OK","NG")</f>
        <v>OK</v>
      </c>
      <c r="J15" s="2" t="str">
        <f>RIGHT(Table246[[#This Row],[Output]],LEN(Table246[[#This Row],[Output]])-FIND("=",Table246[[#This Row],[Output]])-1)</f>
        <v>2.059</v>
      </c>
      <c r="K1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6" spans="1:11" ht="16" thickTop="1" thickBot="1">
      <c r="A16" s="7" t="s">
        <v>236</v>
      </c>
      <c r="B16" s="2" t="str">
        <f>SUBSTITUTE(SUBSTITUTE(SUBSTITUTE(Table246[[#This Row],[Standard Attributes List]]," ",""),".",""),"-","")</f>
        <v>IDPRIMARY(IN)</v>
      </c>
      <c r="C16" s="3" t="s">
        <v>318</v>
      </c>
      <c r="D16" s="3" t="str">
        <f>SUBSTITUTE(SUBSTITUTE(SUBSTITUTE(LEFT(Table246[[#This Row],[Reference]],FIND("=",Table246[[#This Row],[Reference]])-2)," ",""),".",""),"-","")</f>
        <v>IDPRIMARY(IN)</v>
      </c>
      <c r="E16" s="22" t="str">
        <f>TRIM(RIGHT(Table246[[#This Row],[Reference]],LEN(Table246[[#This Row],[Reference]])-FIND("=",Table246[[#This Row],[Reference]])-1))</f>
        <v>2.952</v>
      </c>
      <c r="F16" s="3" t="str">
        <f>VLOOKUP(Table246[[#This Row],[Condensed Value]],D:E,2,FALSE)</f>
        <v>2.952</v>
      </c>
      <c r="G16" s="3"/>
      <c r="H16" s="4" t="str">
        <f>CONCATENATE(Table246[[#This Row],[Standard Attributes List]]," = ",IF(Table246[[#This Row],[Overwrite Value]]="",Table246[[#This Row],[Ref. Value]],Table246[[#This Row],[Overwrite Value]]))</f>
        <v>I.D. - PRIMARY (IN) = 2.952</v>
      </c>
      <c r="I16" t="str">
        <f>IF(Table246[[#This Row],[Reference]]=Table246[[#This Row],[Output]],"OK","NG")</f>
        <v>OK</v>
      </c>
      <c r="J16" s="2" t="str">
        <f>RIGHT(Table246[[#This Row],[Output]],LEN(Table246[[#This Row],[Output]])-FIND("=",Table246[[#This Row],[Output]])-1)</f>
        <v>2.952</v>
      </c>
      <c r="K1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7" spans="1:11" ht="16" thickTop="1" thickBot="1">
      <c r="A17" s="7" t="s">
        <v>237</v>
      </c>
      <c r="B17" s="2" t="str">
        <f>SUBSTITUTE(SUBSTITUTE(SUBSTITUTE(Table246[[#This Row],[Standard Attributes List]]," ",""),".",""),"-","")</f>
        <v>IDPRIMARYMIN(IN)</v>
      </c>
      <c r="C17" s="3" t="s">
        <v>311</v>
      </c>
      <c r="D17" s="3" t="str">
        <f>SUBSTITUTE(SUBSTITUTE(SUBSTITUTE(LEFT(Table246[[#This Row],[Reference]],FIND("=",Table246[[#This Row],[Reference]])-2)," ",""),".",""),"-","")</f>
        <v>IDPRIMARYMIN(IN)</v>
      </c>
      <c r="E17" s="22" t="str">
        <f>TRIM(RIGHT(Table246[[#This Row],[Reference]],LEN(Table246[[#This Row],[Reference]])-FIND("=",Table246[[#This Row],[Reference]])-1))</f>
        <v>2.942</v>
      </c>
      <c r="F17" s="3" t="str">
        <f>VLOOKUP(Table246[[#This Row],[Condensed Value]],D:E,2,FALSE)</f>
        <v>2.942</v>
      </c>
      <c r="G17" s="3"/>
      <c r="H17" s="4" t="str">
        <f>CONCATENATE(Table246[[#This Row],[Standard Attributes List]]," = ",IF(Table246[[#This Row],[Overwrite Value]]="",Table246[[#This Row],[Ref. Value]],Table246[[#This Row],[Overwrite Value]]))</f>
        <v>I.D. - PRIMARY MIN (IN) = 2.942</v>
      </c>
      <c r="I17" t="str">
        <f>IF(Table246[[#This Row],[Reference]]=Table246[[#This Row],[Output]],"OK","NG")</f>
        <v>OK</v>
      </c>
      <c r="J17" s="2" t="str">
        <f>RIGHT(Table246[[#This Row],[Output]],LEN(Table246[[#This Row],[Output]])-FIND("=",Table246[[#This Row],[Output]])-1)</f>
        <v>2.942</v>
      </c>
      <c r="K1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8" spans="1:11" ht="16" thickTop="1" thickBot="1">
      <c r="A18" s="7" t="s">
        <v>239</v>
      </c>
      <c r="B18" s="2" t="str">
        <f>SUBSTITUTE(SUBSTITUTE(SUBSTITUTE(Table246[[#This Row],[Standard Attributes List]]," ",""),".",""),"-","")</f>
        <v>IDSECONDARY(IN)</v>
      </c>
      <c r="C18" s="3" t="s">
        <v>302</v>
      </c>
      <c r="D18" s="3" t="str">
        <f>SUBSTITUTE(SUBSTITUTE(SUBSTITUTE(LEFT(Table246[[#This Row],[Reference]],FIND("=",Table246[[#This Row],[Reference]])-2)," ",""),".",""),"-","")</f>
        <v>IDSECONDARY(IN)</v>
      </c>
      <c r="E18" s="22" t="str">
        <f>TRIM(RIGHT(Table246[[#This Row],[Reference]],LEN(Table246[[#This Row],[Reference]])-FIND("=",Table246[[#This Row],[Reference]])-1))</f>
        <v>2.080</v>
      </c>
      <c r="F18" s="3" t="str">
        <f>VLOOKUP(Table246[[#This Row],[Condensed Value]],D:E,2,FALSE)</f>
        <v>2.080</v>
      </c>
      <c r="G18" s="3"/>
      <c r="H18" s="4" t="str">
        <f>CONCATENATE(Table246[[#This Row],[Standard Attributes List]]," = ",IF(Table246[[#This Row],[Overwrite Value]]="",Table246[[#This Row],[Ref. Value]],Table246[[#This Row],[Overwrite Value]]))</f>
        <v>I.D. - SECONDARY (IN) = 2.080</v>
      </c>
      <c r="I18" t="str">
        <f>IF(Table246[[#This Row],[Reference]]=Table246[[#This Row],[Output]],"OK","NG")</f>
        <v>OK</v>
      </c>
      <c r="J18" s="2" t="str">
        <f>RIGHT(Table246[[#This Row],[Output]],LEN(Table246[[#This Row],[Output]])-FIND("=",Table246[[#This Row],[Output]])-1)</f>
        <v>2.080</v>
      </c>
      <c r="K1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9" spans="1:11" ht="16" thickTop="1" thickBot="1">
      <c r="A19" s="7" t="s">
        <v>240</v>
      </c>
      <c r="B19" s="2" t="str">
        <f>SUBSTITUTE(SUBSTITUTE(SUBSTITUTE(Table246[[#This Row],[Standard Attributes List]]," ",""),".",""),"-","")</f>
        <v>IDSECONDARYMIN(IN)</v>
      </c>
      <c r="C19" s="3" t="s">
        <v>303</v>
      </c>
      <c r="D19" s="3" t="str">
        <f>SUBSTITUTE(SUBSTITUTE(SUBSTITUTE(LEFT(Table246[[#This Row],[Reference]],FIND("=",Table246[[#This Row],[Reference]])-2)," ",""),".",""),"-","")</f>
        <v>IDSECONDARYMIN(IN)</v>
      </c>
      <c r="E19" s="22" t="str">
        <f>TRIM(RIGHT(Table246[[#This Row],[Reference]],LEN(Table246[[#This Row],[Reference]])-FIND("=",Table246[[#This Row],[Reference]])-1))</f>
        <v>2.080</v>
      </c>
      <c r="F19" s="3" t="str">
        <f>VLOOKUP(Table246[[#This Row],[Condensed Value]],D:E,2,FALSE)</f>
        <v>2.080</v>
      </c>
      <c r="G19" s="3"/>
      <c r="H19" s="4" t="str">
        <f>CONCATENATE(Table246[[#This Row],[Standard Attributes List]]," = ",IF(Table246[[#This Row],[Overwrite Value]]="",Table246[[#This Row],[Ref. Value]],Table246[[#This Row],[Overwrite Value]]))</f>
        <v>I.D. - SECONDARY MIN (IN) = 2.080</v>
      </c>
      <c r="I19" t="str">
        <f>IF(Table246[[#This Row],[Reference]]=Table246[[#This Row],[Output]],"OK","NG")</f>
        <v>OK</v>
      </c>
      <c r="J19" s="2" t="str">
        <f>RIGHT(Table246[[#This Row],[Output]],LEN(Table246[[#This Row],[Output]])-FIND("=",Table246[[#This Row],[Output]])-1)</f>
        <v>2.080</v>
      </c>
      <c r="K1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0" spans="1:11" ht="16" thickTop="1" thickBot="1">
      <c r="A20" s="7" t="s">
        <v>3</v>
      </c>
      <c r="B20" s="2" t="str">
        <f>SUBSTITUTE(SUBSTITUTE(SUBSTITUTE(Table246[[#This Row],[Standard Attributes List]]," ",""),".",""),"-","")</f>
        <v>INTERNALWORKINGPRESSURE(PSI)EOECATSPECIFIEDTEMP(F)</v>
      </c>
      <c r="C20" s="3" t="s">
        <v>319</v>
      </c>
      <c r="D20" s="3" t="str">
        <f>SUBSTITUTE(SUBSTITUTE(SUBSTITUTE(LEFT(Table246[[#This Row],[Reference]],FIND("=",Table246[[#This Row],[Reference]])-2)," ",""),".",""),"-","")</f>
        <v>INTERNALWORKINGPRESSURE(PSI)EOECATSPECIFIEDTEMP(F)</v>
      </c>
      <c r="E20" s="22" t="str">
        <f>TRIM(RIGHT(Table246[[#This Row],[Reference]],LEN(Table246[[#This Row],[Reference]])-FIND("=",Table246[[#This Row],[Reference]])-1))</f>
        <v>4500[250]</v>
      </c>
      <c r="F20" s="3" t="str">
        <f>VLOOKUP(Table246[[#This Row],[Condensed Value]],D:E,2,FALSE)</f>
        <v>4500[250]</v>
      </c>
      <c r="G20" s="3"/>
      <c r="H20" s="4" t="str">
        <f>CONCATENATE(Table246[[#This Row],[Standard Attributes List]]," = ",IF(Table246[[#This Row],[Overwrite Value]]="",Table246[[#This Row],[Ref. Value]],Table246[[#This Row],[Overwrite Value]]))</f>
        <v>INTERNAL WORKING PRESSURE (PSI) - EOEC AT SPECIFIED TEMP (F) = 4500[250]</v>
      </c>
      <c r="I20" t="str">
        <f>IF(Table246[[#This Row],[Reference]]=Table246[[#This Row],[Output]],"OK","NG")</f>
        <v>OK</v>
      </c>
      <c r="J20" s="2" t="str">
        <f>RIGHT(Table246[[#This Row],[Output]],LEN(Table246[[#This Row],[Output]])-FIND("=",Table246[[#This Row],[Output]])-1)</f>
        <v>4500[250]</v>
      </c>
      <c r="K2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1" spans="1:11" ht="16" thickTop="1" thickBot="1">
      <c r="A21" s="7" t="s">
        <v>59</v>
      </c>
      <c r="B21" s="2" t="str">
        <f>SUBSTITUTE(SUBSTITUTE(SUBSTITUTE(Table246[[#This Row],[Standard Attributes List]]," ",""),".",""),"-","")</f>
        <v>ISOQUALIFIEDCASINGID</v>
      </c>
      <c r="C21" s="3" t="s">
        <v>320</v>
      </c>
      <c r="D21" s="3" t="str">
        <f>SUBSTITUTE(SUBSTITUTE(SUBSTITUTE(LEFT(Table246[[#This Row],[Reference]],FIND("=",Table246[[#This Row],[Reference]])-2)," ",""),".",""),"-","")</f>
        <v>ISOQUALIFIEDCASINGID</v>
      </c>
      <c r="E21" s="22" t="str">
        <f>TRIM(RIGHT(Table246[[#This Row],[Reference]],LEN(Table246[[#This Row],[Reference]])-FIND("=",Table246[[#This Row],[Reference]])-1))</f>
        <v>8.920</v>
      </c>
      <c r="F21" s="3" t="str">
        <f>VLOOKUP(Table246[[#This Row],[Condensed Value]],D:E,2,FALSE)</f>
        <v>8.920</v>
      </c>
      <c r="G21" s="6"/>
      <c r="H21" s="4" t="str">
        <f>CONCATENATE(Table246[[#This Row],[Standard Attributes List]]," = ",IF(Table246[[#This Row],[Overwrite Value]]="",Table246[[#This Row],[Ref. Value]],Table246[[#This Row],[Overwrite Value]]))</f>
        <v>ISO QUALIFIED CASING ID = 8.920</v>
      </c>
      <c r="I21" t="str">
        <f>IF(Table246[[#This Row],[Reference]]=Table246[[#This Row],[Output]],"OK","NG")</f>
        <v>OK</v>
      </c>
      <c r="J21" s="2" t="str">
        <f>RIGHT(Table246[[#This Row],[Output]],LEN(Table246[[#This Row],[Output]])-FIND("=",Table246[[#This Row],[Output]])-1)</f>
        <v>8.920</v>
      </c>
      <c r="K21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2" spans="1:11" ht="16" thickTop="1" thickBot="1">
      <c r="A22" s="7" t="s">
        <v>4</v>
      </c>
      <c r="B22" s="2" t="str">
        <f>SUBSTITUTE(SUBSTITUTE(SUBSTITUTE(Table246[[#This Row],[Standard Attributes List]]," ",""),".",""),"-","")</f>
        <v>LOWERTHREADCONNECTINGSIZE(IN),WT(PPF),TYPE,CONFIG</v>
      </c>
      <c r="C22" s="3" t="s">
        <v>321</v>
      </c>
      <c r="D22" s="3" t="str">
        <f>SUBSTITUTE(SUBSTITUTE(SUBSTITUTE(LEFT(Table246[[#This Row],[Reference]],FIND("=",Table246[[#This Row],[Reference]])-2)," ",""),".",""),"-","")</f>
        <v>LOWERTHREADCONNECTINGSIZE(IN),WT(PPF),TYPE,CONFIG</v>
      </c>
      <c r="E22" s="22" t="str">
        <f>TRIM(RIGHT(Table246[[#This Row],[Reference]],LEN(Table246[[#This Row],[Reference]])-FIND("=",Table246[[#This Row],[Reference]])-1))</f>
        <v>3.500, 9.2, VAM TOP, PIN</v>
      </c>
      <c r="F22" s="3" t="str">
        <f>VLOOKUP(Table246[[#This Row],[Condensed Value]],D:E,2,FALSE)</f>
        <v>3.500, 9.2, VAM TOP, PIN</v>
      </c>
      <c r="G22" s="3"/>
      <c r="H22" s="4" t="str">
        <f>CONCATENATE(Table246[[#This Row],[Standard Attributes List]]," = ",IF(Table246[[#This Row],[Overwrite Value]]="",Table246[[#This Row],[Ref. Value]],Table246[[#This Row],[Overwrite Value]]))</f>
        <v>LOWER THREAD CONNECTING - SIZE (IN), WT (PPF), TYPE, CONFIG = 3.500, 9.2, VAM TOP, PIN</v>
      </c>
      <c r="I22" t="str">
        <f>IF(Table246[[#This Row],[Reference]]=Table246[[#This Row],[Output]],"OK","NG")</f>
        <v>OK</v>
      </c>
      <c r="J22" s="2" t="str">
        <f>RIGHT(Table246[[#This Row],[Output]],LEN(Table246[[#This Row],[Output]])-FIND("=",Table246[[#This Row],[Output]])-1)</f>
        <v>3.500, 9.2, VAM TOP, PIN</v>
      </c>
      <c r="K2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3" spans="1:11" ht="16" thickTop="1" thickBot="1">
      <c r="A23" s="7" t="s">
        <v>244</v>
      </c>
      <c r="B23" s="2" t="str">
        <f>SUBSTITUTE(SUBSTITUTE(SUBSTITUTE(Table246[[#This Row],[Standard Attributes List]]," ",""),".",""),"-","")</f>
        <v>LOWERTHREADSECONDARYSIZE(IN),WT(PPF),TYPE,CONFIG</v>
      </c>
      <c r="C23" s="3" t="s">
        <v>304</v>
      </c>
      <c r="D23" s="3" t="str">
        <f>SUBSTITUTE(SUBSTITUTE(SUBSTITUTE(LEFT(Table246[[#This Row],[Reference]],FIND("=",Table246[[#This Row],[Reference]])-2)," ",""),".",""),"-","")</f>
        <v>LOWERTHREADSECONDARYSIZE(IN),WT(PPF),TYPE,CONFIG</v>
      </c>
      <c r="E23" s="22" t="str">
        <f>TRIM(RIGHT(Table246[[#This Row],[Reference]],LEN(Table246[[#This Row],[Reference]])-FIND("=",Table246[[#This Row],[Reference]])-1))</f>
        <v>2.375, 4.6, NUE, BOX</v>
      </c>
      <c r="F23" s="3" t="str">
        <f>VLOOKUP(Table246[[#This Row],[Condensed Value]],D:E,2,FALSE)</f>
        <v>2.375, 4.6, NUE, BOX</v>
      </c>
      <c r="G23" s="3"/>
      <c r="H23" s="4" t="str">
        <f>CONCATENATE(Table246[[#This Row],[Standard Attributes List]]," = ",IF(Table246[[#This Row],[Overwrite Value]]="",Table246[[#This Row],[Ref. Value]],Table246[[#This Row],[Overwrite Value]]))</f>
        <v>LOWER THREAD SECONDARY - SIZE (IN), WT (PPF), TYPE, CONFIG = 2.375, 4.6, NUE, BOX</v>
      </c>
      <c r="I23" t="str">
        <f>IF(Table246[[#This Row],[Reference]]=Table246[[#This Row],[Output]],"OK","NG")</f>
        <v>OK</v>
      </c>
      <c r="J23" s="2" t="str">
        <f>RIGHT(Table246[[#This Row],[Output]],LEN(Table246[[#This Row],[Output]])-FIND("=",Table246[[#This Row],[Output]])-1)</f>
        <v>2.375, 4.6, NUE, BOX</v>
      </c>
      <c r="K2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4" spans="1:11" ht="16" thickTop="1" thickBot="1">
      <c r="A24" s="7" t="s">
        <v>245</v>
      </c>
      <c r="B24" s="2" t="str">
        <f>SUBSTITUTE(SUBSTITUTE(SUBSTITUTE(Table246[[#This Row],[Standard Attributes List]]," ",""),".",""),"-","")</f>
        <v>MAKEUPLENGTHPRIMARY(IN)</v>
      </c>
      <c r="C24" s="3" t="s">
        <v>322</v>
      </c>
      <c r="D24" s="3" t="str">
        <f>SUBSTITUTE(SUBSTITUTE(SUBSTITUTE(LEFT(Table246[[#This Row],[Reference]],FIND("=",Table246[[#This Row],[Reference]])-2)," ",""),".",""),"-","")</f>
        <v>MAKEUPLENGTHPRIMARY(IN)</v>
      </c>
      <c r="E24" s="22" t="str">
        <f>TRIM(RIGHT(Table246[[#This Row],[Reference]],LEN(Table246[[#This Row],[Reference]])-FIND("=",Table246[[#This Row],[Reference]])-1))</f>
        <v>100</v>
      </c>
      <c r="F24" s="3" t="str">
        <f>VLOOKUP(Table246[[#This Row],[Condensed Value]],D:E,2,FALSE)</f>
        <v>100</v>
      </c>
      <c r="G24" s="3"/>
      <c r="H24" s="4" t="str">
        <f>CONCATENATE(Table246[[#This Row],[Standard Attributes List]]," = ",IF(Table246[[#This Row],[Overwrite Value]]="",Table246[[#This Row],[Ref. Value]],Table246[[#This Row],[Overwrite Value]]))</f>
        <v>MAKE-UP LENGTH PRIMARY (IN) = 100</v>
      </c>
      <c r="I24" t="str">
        <f>IF(Table246[[#This Row],[Reference]]=Table246[[#This Row],[Output]],"OK","NG")</f>
        <v>OK</v>
      </c>
      <c r="J24" s="2" t="str">
        <f>RIGHT(Table246[[#This Row],[Output]],LEN(Table246[[#This Row],[Output]])-FIND("=",Table246[[#This Row],[Output]])-1)</f>
        <v>100</v>
      </c>
      <c r="K2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5" spans="1:11" ht="16" thickTop="1" thickBot="1">
      <c r="A25" s="7" t="s">
        <v>246</v>
      </c>
      <c r="B25" s="2" t="str">
        <f>SUBSTITUTE(SUBSTITUTE(SUBSTITUTE(Table246[[#This Row],[Standard Attributes List]]," ",""),".",""),"-","")</f>
        <v>MAKEUPLENGTHSECONDARY(IN)</v>
      </c>
      <c r="C25" s="3" t="s">
        <v>305</v>
      </c>
      <c r="D25" s="3" t="str">
        <f>SUBSTITUTE(SUBSTITUTE(SUBSTITUTE(LEFT(Table246[[#This Row],[Reference]],FIND("=",Table246[[#This Row],[Reference]])-2)," ",""),".",""),"-","")</f>
        <v>MAKEUPLENGTHSECONDARY(IN)</v>
      </c>
      <c r="E25" s="22" t="str">
        <f>TRIM(RIGHT(Table246[[#This Row],[Reference]],LEN(Table246[[#This Row],[Reference]])-FIND("=",Table246[[#This Row],[Reference]])-1))</f>
        <v>62</v>
      </c>
      <c r="F25" s="3" t="str">
        <f>VLOOKUP(Table246[[#This Row],[Condensed Value]],D:E,2,FALSE)</f>
        <v>62</v>
      </c>
      <c r="G25" s="3"/>
      <c r="H25" s="4" t="str">
        <f>CONCATENATE(Table246[[#This Row],[Standard Attributes List]]," = ",IF(Table246[[#This Row],[Overwrite Value]]="",Table246[[#This Row],[Ref. Value]],Table246[[#This Row],[Overwrite Value]]))</f>
        <v>MAKE-UP LENGTH SECONDARY (IN) = 62</v>
      </c>
      <c r="I25" t="str">
        <f>IF(Table246[[#This Row],[Reference]]=Table246[[#This Row],[Output]],"OK","NG")</f>
        <v>OK</v>
      </c>
      <c r="J25" s="2" t="str">
        <f>RIGHT(Table246[[#This Row],[Output]],LEN(Table246[[#This Row],[Output]])-FIND("=",Table246[[#This Row],[Output]])-1)</f>
        <v>62</v>
      </c>
      <c r="K2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6" spans="1:11" ht="16" thickTop="1" thickBot="1">
      <c r="A26" s="7" t="s">
        <v>5</v>
      </c>
      <c r="B26" s="2" t="str">
        <f>SUBSTITUTE(SUBSTITUTE(SUBSTITUTE(Table246[[#This Row],[Standard Attributes List]]," ",""),".",""),"-","")</f>
        <v>MATERIAL/ELASTOMERS</v>
      </c>
      <c r="C26" s="3" t="s">
        <v>201</v>
      </c>
      <c r="D26" s="3" t="str">
        <f>SUBSTITUTE(SUBSTITUTE(SUBSTITUTE(LEFT(Table246[[#This Row],[Reference]],FIND("=",Table246[[#This Row],[Reference]])-2)," ",""),".",""),"-","")</f>
        <v>MATERIAL/ELASTOMERS</v>
      </c>
      <c r="E26" s="22" t="str">
        <f>TRIM(RIGHT(Table246[[#This Row],[Reference]],LEN(Table246[[#This Row],[Reference]])-FIND("=",Table246[[#This Row],[Reference]])-1))</f>
        <v>HNBR, VITON</v>
      </c>
      <c r="F26" s="3" t="str">
        <f>VLOOKUP(Table246[[#This Row],[Condensed Value]],D:E,2,FALSE)</f>
        <v>HNBR, VITON</v>
      </c>
      <c r="G26" s="3"/>
      <c r="H26" s="4" t="str">
        <f>CONCATENATE(Table246[[#This Row],[Standard Attributes List]]," = ",IF(Table246[[#This Row],[Overwrite Value]]="",Table246[[#This Row],[Ref. Value]],Table246[[#This Row],[Overwrite Value]]))</f>
        <v>MATERIAL/ELASTOMERS = HNBR, VITON</v>
      </c>
      <c r="I26" t="str">
        <f>IF(Table246[[#This Row],[Reference]]=Table246[[#This Row],[Output]],"OK","NG")</f>
        <v>OK</v>
      </c>
      <c r="J26" s="2" t="str">
        <f>RIGHT(Table246[[#This Row],[Output]],LEN(Table246[[#This Row],[Output]])-FIND("=",Table246[[#This Row],[Output]])-1)</f>
        <v>HNBR, VITON</v>
      </c>
      <c r="K2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7" spans="1:11" ht="16" thickTop="1" thickBot="1">
      <c r="A27" s="7" t="s">
        <v>21</v>
      </c>
      <c r="B27" s="2" t="str">
        <f>SUBSTITUTE(SUBSTITUTE(SUBSTITUTE(Table246[[#This Row],[Standard Attributes List]]," ",""),".",""),"-","")</f>
        <v>MATERIAL/ELEMENTS</v>
      </c>
      <c r="C27" s="3" t="s">
        <v>62</v>
      </c>
      <c r="D27" s="3" t="str">
        <f>SUBSTITUTE(SUBSTITUTE(SUBSTITUTE(LEFT(Table246[[#This Row],[Reference]],FIND("=",Table246[[#This Row],[Reference]])-2)," ",""),".",""),"-","")</f>
        <v>MATERIAL/ELEMENTS</v>
      </c>
      <c r="E27" s="22" t="str">
        <f>TRIM(RIGHT(Table246[[#This Row],[Reference]],LEN(Table246[[#This Row],[Reference]])-FIND("=",Table246[[#This Row],[Reference]])-1))</f>
        <v>HNBR</v>
      </c>
      <c r="F27" s="3" t="str">
        <f>VLOOKUP(Table246[[#This Row],[Condensed Value]],D:E,2,FALSE)</f>
        <v>HNBR</v>
      </c>
      <c r="G27" s="3"/>
      <c r="H27" s="4" t="str">
        <f>CONCATENATE(Table246[[#This Row],[Standard Attributes List]]," = ",IF(Table246[[#This Row],[Overwrite Value]]="",Table246[[#This Row],[Ref. Value]],Table246[[#This Row],[Overwrite Value]]))</f>
        <v>MATERIAL/ELEMENTS = HNBR</v>
      </c>
      <c r="I27" t="str">
        <f>IF(Table246[[#This Row],[Reference]]=Table246[[#This Row],[Output]],"OK","NG")</f>
        <v>OK</v>
      </c>
      <c r="J27" s="2" t="str">
        <f>RIGHT(Table246[[#This Row],[Output]],LEN(Table246[[#This Row],[Output]])-FIND("=",Table246[[#This Row],[Output]])-1)</f>
        <v>HNBR</v>
      </c>
      <c r="K2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8" spans="1:11" ht="16" thickTop="1" thickBot="1">
      <c r="A28" s="7" t="s">
        <v>22</v>
      </c>
      <c r="B28" s="2" t="str">
        <f>SUBSTITUTE(SUBSTITUTE(SUBSTITUTE(Table246[[#This Row],[Standard Attributes List]]," ",""),".",""),"-","")</f>
        <v>MATERIAL/NONFLOWWETTED</v>
      </c>
      <c r="C28" s="3" t="s">
        <v>323</v>
      </c>
      <c r="D28" s="3" t="str">
        <f>SUBSTITUTE(SUBSTITUTE(SUBSTITUTE(LEFT(Table246[[#This Row],[Reference]],FIND("=",Table246[[#This Row],[Reference]])-2)," ",""),".",""),"-","")</f>
        <v>MATERIAL/NONFLOWWETTED</v>
      </c>
      <c r="E28" s="22" t="str">
        <f>TRIM(RIGHT(Table246[[#This Row],[Reference]],LEN(Table246[[#This Row],[Reference]])-FIND("=",Table246[[#This Row],[Reference]])-1))</f>
        <v>4130/4140/4145, 8620, 17-7PH, SPRING STEEL</v>
      </c>
      <c r="F28" s="3" t="str">
        <f>VLOOKUP(Table246[[#This Row],[Condensed Value]],D:E,2,FALSE)</f>
        <v>4130/4140/4145, 8620, 17-7PH, SPRING STEEL</v>
      </c>
      <c r="G28" s="3"/>
      <c r="H28" s="4" t="str">
        <f>CONCATENATE(Table246[[#This Row],[Standard Attributes List]]," = ",IF(Table246[[#This Row],[Overwrite Value]]="",Table246[[#This Row],[Ref. Value]],Table246[[#This Row],[Overwrite Value]]))</f>
        <v>MATERIAL/NON FLOW WETTED = 4130/4140/4145, 8620, 17-7PH, SPRING STEEL</v>
      </c>
      <c r="I28" t="str">
        <f>IF(Table246[[#This Row],[Reference]]=Table246[[#This Row],[Output]],"OK","NG")</f>
        <v>OK</v>
      </c>
      <c r="J28" s="2" t="str">
        <f>RIGHT(Table246[[#This Row],[Output]],LEN(Table246[[#This Row],[Output]])-FIND("=",Table246[[#This Row],[Output]])-1)</f>
        <v>4130/4140/4145, 8620, 17-7PH, SPRING STEEL</v>
      </c>
      <c r="K2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9" spans="1:11" ht="16" thickTop="1" thickBot="1">
      <c r="A29" s="7" t="s">
        <v>23</v>
      </c>
      <c r="B29" s="2" t="str">
        <f>SUBSTITUTE(SUBSTITUTE(SUBSTITUTE(Table246[[#This Row],[Standard Attributes List]]," ",""),".",""),"-","")</f>
        <v>MATERIAL/ORING(S)</v>
      </c>
      <c r="C29" s="3" t="s">
        <v>203</v>
      </c>
      <c r="D29" s="3" t="str">
        <f>SUBSTITUTE(SUBSTITUTE(SUBSTITUTE(LEFT(Table246[[#This Row],[Reference]],FIND("=",Table246[[#This Row],[Reference]])-2)," ",""),".",""),"-","")</f>
        <v>MATERIAL/ORING(S)</v>
      </c>
      <c r="E29" s="22" t="str">
        <f>TRIM(RIGHT(Table246[[#This Row],[Reference]],LEN(Table246[[#This Row],[Reference]])-FIND("=",Table246[[#This Row],[Reference]])-1))</f>
        <v>VITON</v>
      </c>
      <c r="F29" s="3" t="str">
        <f>VLOOKUP(Table246[[#This Row],[Condensed Value]],D:E,2,FALSE)</f>
        <v>VITON</v>
      </c>
      <c r="G29" s="3"/>
      <c r="H29" s="4" t="str">
        <f>CONCATENATE(Table246[[#This Row],[Standard Attributes List]]," = ",IF(Table246[[#This Row],[Overwrite Value]]="",Table246[[#This Row],[Ref. Value]],Table246[[#This Row],[Overwrite Value]]))</f>
        <v>MATERIAL/O-RING(S) = VITON</v>
      </c>
      <c r="I29" t="str">
        <f>IF(Table246[[#This Row],[Reference]]=Table246[[#This Row],[Output]],"OK","NG")</f>
        <v>OK</v>
      </c>
      <c r="J29" s="2" t="str">
        <f>RIGHT(Table246[[#This Row],[Output]],LEN(Table246[[#This Row],[Output]])-FIND("=",Table246[[#This Row],[Output]])-1)</f>
        <v>VITON</v>
      </c>
      <c r="K2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0" spans="1:11" ht="16" thickTop="1" thickBot="1">
      <c r="A30" s="7" t="s">
        <v>38</v>
      </c>
      <c r="B30" s="2" t="str">
        <f>SUBSTITUTE(SUBSTITUTE(SUBSTITUTE(Table246[[#This Row],[Standard Attributes List]]," ",""),".",""),"-","")</f>
        <v>MAXCIRCULATIONRATEPASTPACKER(BPM)</v>
      </c>
      <c r="C30" s="3" t="s">
        <v>204</v>
      </c>
      <c r="D30" s="3" t="str">
        <f>SUBSTITUTE(SUBSTITUTE(SUBSTITUTE(LEFT(Table246[[#This Row],[Reference]],FIND("=",Table246[[#This Row],[Reference]])-2)," ",""),".",""),"-","")</f>
        <v>MAXCIRCULATIONRATEPASTPACKER(BPM)</v>
      </c>
      <c r="E30" s="22" t="str">
        <f>TRIM(RIGHT(Table246[[#This Row],[Reference]],LEN(Table246[[#This Row],[Reference]])-FIND("=",Table246[[#This Row],[Reference]])-1))</f>
        <v>NA</v>
      </c>
      <c r="F30" s="3" t="str">
        <f>VLOOKUP(Table246[[#This Row],[Condensed Value]],D:E,2,FALSE)</f>
        <v>NA</v>
      </c>
      <c r="G30" s="3"/>
      <c r="H30" s="4" t="str">
        <f>CONCATENATE(Table246[[#This Row],[Standard Attributes List]]," = ",IF(Table246[[#This Row],[Overwrite Value]]="",Table246[[#This Row],[Ref. Value]],Table246[[#This Row],[Overwrite Value]]))</f>
        <v>MAX. CIRCULATION RATE PAST PACKER (BPM) = NA</v>
      </c>
      <c r="I30" t="str">
        <f>IF(Table246[[#This Row],[Reference]]=Table246[[#This Row],[Output]],"OK","NG")</f>
        <v>OK</v>
      </c>
      <c r="J30" s="2" t="str">
        <f>RIGHT(Table246[[#This Row],[Output]],LEN(Table246[[#This Row],[Output]])-FIND("=",Table246[[#This Row],[Output]])-1)</f>
        <v>NA</v>
      </c>
      <c r="K3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1" spans="1:11" ht="16" thickTop="1" thickBot="1">
      <c r="A31" s="7" t="s">
        <v>24</v>
      </c>
      <c r="B31" s="2" t="str">
        <f>SUBSTITUTE(SUBSTITUTE(SUBSTITUTE(Table246[[#This Row],[Standard Attributes List]]," ",""),".",""),"-","")</f>
        <v>MAXDELTAT(F)</v>
      </c>
      <c r="C31" s="3" t="s">
        <v>289</v>
      </c>
      <c r="D31" s="3" t="str">
        <f>SUBSTITUTE(SUBSTITUTE(SUBSTITUTE(LEFT(Table246[[#This Row],[Reference]],FIND("=",Table246[[#This Row],[Reference]])-2)," ",""),".",""),"-","")</f>
        <v>MAXDELTAT(F)</v>
      </c>
      <c r="E31" s="22" t="str">
        <f>TRIM(RIGHT(Table246[[#This Row],[Reference]],LEN(Table246[[#This Row],[Reference]])-FIND("=",Table246[[#This Row],[Reference]])-1))</f>
        <v>100</v>
      </c>
      <c r="F31" s="3" t="str">
        <f>VLOOKUP(Table246[[#This Row],[Condensed Value]],D:E,2,FALSE)</f>
        <v>100</v>
      </c>
      <c r="G31" s="3"/>
      <c r="H31" s="4" t="str">
        <f>CONCATENATE(Table246[[#This Row],[Standard Attributes List]]," = ",IF(Table246[[#This Row],[Overwrite Value]]="",Table246[[#This Row],[Ref. Value]],Table246[[#This Row],[Overwrite Value]]))</f>
        <v>MAX. DELTA T (F) = 100</v>
      </c>
      <c r="I31" t="str">
        <f>IF(Table246[[#This Row],[Reference]]=Table246[[#This Row],[Output]],"OK","NG")</f>
        <v>OK</v>
      </c>
      <c r="J31" s="2" t="str">
        <f>RIGHT(Table246[[#This Row],[Output]],LEN(Table246[[#This Row],[Output]])-FIND("=",Table246[[#This Row],[Output]])-1)</f>
        <v>100</v>
      </c>
      <c r="K31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2" spans="1:11" ht="16" thickTop="1" thickBot="1">
      <c r="A32" s="7" t="s">
        <v>39</v>
      </c>
      <c r="B32" s="2" t="str">
        <f>SUBSTITUTE(SUBSTITUTE(SUBSTITUTE(Table246[[#This Row],[Standard Attributes List]]," ",""),".",""),"-","")</f>
        <v>MAXRIHRATE(FPM)</v>
      </c>
      <c r="C32" s="3" t="s">
        <v>290</v>
      </c>
      <c r="D32" s="3" t="str">
        <f>SUBSTITUTE(SUBSTITUTE(SUBSTITUTE(LEFT(Table246[[#This Row],[Reference]],FIND("=",Table246[[#This Row],[Reference]])-2)," ",""),".",""),"-","")</f>
        <v>MAXRIHRATE(FPM)</v>
      </c>
      <c r="E32" s="22" t="str">
        <f>TRIM(RIGHT(Table246[[#This Row],[Reference]],LEN(Table246[[#This Row],[Reference]])-FIND("=",Table246[[#This Row],[Reference]])-1))</f>
        <v>NA</v>
      </c>
      <c r="F32" s="3" t="str">
        <f>VLOOKUP(Table246[[#This Row],[Condensed Value]],D:E,2,FALSE)</f>
        <v>NA</v>
      </c>
      <c r="G32" s="3"/>
      <c r="H32" s="4" t="str">
        <f>CONCATENATE(Table246[[#This Row],[Standard Attributes List]]," = ",IF(Table246[[#This Row],[Overwrite Value]]="",Table246[[#This Row],[Ref. Value]],Table246[[#This Row],[Overwrite Value]]))</f>
        <v>MAX. RIH RATE (FPM) = NA</v>
      </c>
      <c r="I32" t="str">
        <f>IF(Table246[[#This Row],[Reference]]=Table246[[#This Row],[Output]],"OK","NG")</f>
        <v>OK</v>
      </c>
      <c r="J32" s="2" t="str">
        <f>RIGHT(Table246[[#This Row],[Output]],LEN(Table246[[#This Row],[Output]])-FIND("=",Table246[[#This Row],[Output]])-1)</f>
        <v>NA</v>
      </c>
      <c r="K3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3" spans="1:14" ht="16" thickTop="1" thickBot="1">
      <c r="A33" s="7" t="s">
        <v>6</v>
      </c>
      <c r="B33" s="2" t="str">
        <f>SUBSTITUTE(SUBSTITUTE(SUBSTITUTE(Table246[[#This Row],[Standard Attributes List]]," ",""),".",""),"-","")</f>
        <v>MAXWORKINGTEMPERATURE(DEGF)</v>
      </c>
      <c r="C33" s="3" t="s">
        <v>291</v>
      </c>
      <c r="D33" s="3" t="str">
        <f>SUBSTITUTE(SUBSTITUTE(SUBSTITUTE(LEFT(Table246[[#This Row],[Reference]],FIND("=",Table246[[#This Row],[Reference]])-2)," ",""),".",""),"-","")</f>
        <v>MAXWORKINGTEMPERATURE(DEGF)</v>
      </c>
      <c r="E33" s="22" t="str">
        <f>TRIM(RIGHT(Table246[[#This Row],[Reference]],LEN(Table246[[#This Row],[Reference]])-FIND("=",Table246[[#This Row],[Reference]])-1))</f>
        <v>250</v>
      </c>
      <c r="F33" s="3" t="str">
        <f>VLOOKUP(Table246[[#This Row],[Condensed Value]],D:E,2,FALSE)</f>
        <v>250</v>
      </c>
      <c r="G33" s="3"/>
      <c r="H33" s="4" t="str">
        <f>CONCATENATE(Table246[[#This Row],[Standard Attributes List]]," = ",IF(Table246[[#This Row],[Overwrite Value]]="",Table246[[#This Row],[Ref. Value]],Table246[[#This Row],[Overwrite Value]]))</f>
        <v>MAX. WORKING TEMPERATURE (DEG.F) = 250</v>
      </c>
      <c r="I33" t="str">
        <f>IF(Table246[[#This Row],[Reference]]=Table246[[#This Row],[Output]],"OK","NG")</f>
        <v>OK</v>
      </c>
      <c r="J33" s="2" t="str">
        <f>RIGHT(Table246[[#This Row],[Output]],LEN(Table246[[#This Row],[Output]])-FIND("=",Table246[[#This Row],[Output]])-1)</f>
        <v>250</v>
      </c>
      <c r="K3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4" spans="1:14" ht="16" thickTop="1" thickBot="1">
      <c r="A34" s="7" t="s">
        <v>7</v>
      </c>
      <c r="B34" s="2" t="str">
        <f>SUBSTITUTE(SUBSTITUTE(SUBSTITUTE(Table246[[#This Row],[Standard Attributes List]]," ",""),".",""),"-","")</f>
        <v>MINWORKINGTEMPERATURE(DEGF)</v>
      </c>
      <c r="C34" s="3" t="s">
        <v>274</v>
      </c>
      <c r="D34" s="3" t="str">
        <f>SUBSTITUTE(SUBSTITUTE(SUBSTITUTE(LEFT(Table246[[#This Row],[Reference]],FIND("=",Table246[[#This Row],[Reference]])-2)," ",""),".",""),"-","")</f>
        <v>MINWORKINGTEMPERATURE(DEGF)</v>
      </c>
      <c r="E34" s="22" t="str">
        <f>TRIM(RIGHT(Table246[[#This Row],[Reference]],LEN(Table246[[#This Row],[Reference]])-FIND("=",Table246[[#This Row],[Reference]])-1))</f>
        <v>150</v>
      </c>
      <c r="F34" s="3" t="str">
        <f>VLOOKUP(Table246[[#This Row],[Condensed Value]],D:E,2,FALSE)</f>
        <v>150</v>
      </c>
      <c r="G34" s="3"/>
      <c r="H34" s="4" t="str">
        <f>CONCATENATE(Table246[[#This Row],[Standard Attributes List]]," = ",IF(Table246[[#This Row],[Overwrite Value]]="",Table246[[#This Row],[Ref. Value]],Table246[[#This Row],[Overwrite Value]]))</f>
        <v>MIN. WORKING TEMPERATURE (DEG.F) = 150</v>
      </c>
      <c r="I34" t="str">
        <f>IF(Table246[[#This Row],[Reference]]=Table246[[#This Row],[Output]],"OK","NG")</f>
        <v>OK</v>
      </c>
      <c r="J34" s="2" t="str">
        <f>RIGHT(Table246[[#This Row],[Output]],LEN(Table246[[#This Row],[Output]])-FIND("=",Table246[[#This Row],[Output]])-1)</f>
        <v>150</v>
      </c>
      <c r="K3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5" spans="1:14" ht="16" thickTop="1" thickBot="1">
      <c r="A35" s="7" t="s">
        <v>8</v>
      </c>
      <c r="B35" s="2" t="str">
        <f>SUBSTITUTE(SUBSTITUTE(SUBSTITUTE(Table246[[#This Row],[Standard Attributes List]]," ",""),".",""),"-","")</f>
        <v>ODMAX(IN)</v>
      </c>
      <c r="C35" s="3" t="s">
        <v>324</v>
      </c>
      <c r="D35" s="3" t="str">
        <f>SUBSTITUTE(SUBSTITUTE(SUBSTITUTE(LEFT(Table246[[#This Row],[Reference]],FIND("=",Table246[[#This Row],[Reference]])-2)," ",""),".",""),"-","")</f>
        <v>ODMAX(IN)</v>
      </c>
      <c r="E35" s="22" t="str">
        <f>TRIM(RIGHT(Table246[[#This Row],[Reference]],LEN(Table246[[#This Row],[Reference]])-FIND("=",Table246[[#This Row],[Reference]])-1))</f>
        <v>8.463</v>
      </c>
      <c r="F35" s="3" t="str">
        <f>VLOOKUP(Table246[[#This Row],[Condensed Value]],D:E,2,FALSE)</f>
        <v>8.463</v>
      </c>
      <c r="G35" s="3"/>
      <c r="H35" s="4" t="str">
        <f>CONCATENATE(Table246[[#This Row],[Standard Attributes List]]," = ",IF(Table246[[#This Row],[Overwrite Value]]="",Table246[[#This Row],[Ref. Value]],Table246[[#This Row],[Overwrite Value]]))</f>
        <v>O.D. - MAX. (IN) = 8.463</v>
      </c>
      <c r="I35" t="str">
        <f>IF(Table246[[#This Row],[Reference]]=Table246[[#This Row],[Output]],"OK","NG")</f>
        <v>OK</v>
      </c>
      <c r="J35" s="2" t="str">
        <f>RIGHT(Table246[[#This Row],[Output]],LEN(Table246[[#This Row],[Output]])-FIND("=",Table246[[#This Row],[Output]])-1)</f>
        <v>8.463</v>
      </c>
      <c r="K3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6" spans="1:14" ht="16" thickTop="1" thickBot="1">
      <c r="A36" s="7" t="s">
        <v>9</v>
      </c>
      <c r="B36" s="2" t="str">
        <f>SUBSTITUTE(SUBSTITUTE(SUBSTITUTE(Table246[[#This Row],[Standard Attributes List]]," ",""),".",""),"-","")</f>
        <v>OD(IN)</v>
      </c>
      <c r="C36" s="3" t="s">
        <v>325</v>
      </c>
      <c r="D36" s="3" t="str">
        <f>SUBSTITUTE(SUBSTITUTE(SUBSTITUTE(LEFT(Table246[[#This Row],[Reference]],FIND("=",Table246[[#This Row],[Reference]])-2)," ",""),".",""),"-","")</f>
        <v>OD(IN)</v>
      </c>
      <c r="E36" s="22" t="str">
        <f>TRIM(RIGHT(Table246[[#This Row],[Reference]],LEN(Table246[[#This Row],[Reference]])-FIND("=",Table246[[#This Row],[Reference]])-1))</f>
        <v>8.463</v>
      </c>
      <c r="F36" s="3" t="str">
        <f>VLOOKUP(Table246[[#This Row],[Condensed Value]],D:E,2,FALSE)</f>
        <v>8.463</v>
      </c>
      <c r="G36" s="3"/>
      <c r="H36" s="4" t="str">
        <f>CONCATENATE(Table246[[#This Row],[Standard Attributes List]]," = ",IF(Table246[[#This Row],[Overwrite Value]]="",Table246[[#This Row],[Ref. Value]],Table246[[#This Row],[Overwrite Value]]))</f>
        <v>O.D. (IN) = 8.463</v>
      </c>
      <c r="I36" t="str">
        <f>IF(Table246[[#This Row],[Reference]]=Table246[[#This Row],[Output]],"OK","NG")</f>
        <v>OK</v>
      </c>
      <c r="J36" s="2" t="str">
        <f>RIGHT(Table246[[#This Row],[Output]],LEN(Table246[[#This Row],[Output]])-FIND("=",Table246[[#This Row],[Output]])-1)</f>
        <v>8.463</v>
      </c>
      <c r="K3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7" spans="1:14" ht="16" thickTop="1" thickBot="1">
      <c r="A37" s="7" t="s">
        <v>250</v>
      </c>
      <c r="B37" s="2" t="str">
        <f>SUBSTITUTE(SUBSTITUTE(SUBSTITUTE(Table246[[#This Row],[Standard Attributes List]]," ",""),".",""),"-","")</f>
        <v>OFFSET(IN)</v>
      </c>
      <c r="C37" s="3" t="s">
        <v>292</v>
      </c>
      <c r="D37" s="3" t="str">
        <f>SUBSTITUTE(SUBSTITUTE(SUBSTITUTE(LEFT(Table246[[#This Row],[Reference]],FIND("=",Table246[[#This Row],[Reference]])-2)," ",""),".",""),"-","")</f>
        <v>OFFSET(IN)</v>
      </c>
      <c r="E37" s="22" t="str">
        <f>TRIM(RIGHT(Table246[[#This Row],[Reference]],LEN(Table246[[#This Row],[Reference]])-FIND("=",Table246[[#This Row],[Reference]])-1))</f>
        <v>1.211</v>
      </c>
      <c r="F37" s="3" t="str">
        <f>VLOOKUP(Table246[[#This Row],[Condensed Value]],D:E,2,FALSE)</f>
        <v>1.211</v>
      </c>
      <c r="G37" s="3"/>
      <c r="H37" s="4" t="str">
        <f>CONCATENATE(Table246[[#This Row],[Standard Attributes List]]," = ",IF(Table246[[#This Row],[Overwrite Value]]="",Table246[[#This Row],[Ref. Value]],Table246[[#This Row],[Overwrite Value]]))</f>
        <v>OFFSET (IN) = 1.211</v>
      </c>
      <c r="I37" t="str">
        <f>IF(Table246[[#This Row],[Reference]]=Table246[[#This Row],[Output]],"OK","NG")</f>
        <v>OK</v>
      </c>
      <c r="J37" s="2" t="str">
        <f>RIGHT(Table246[[#This Row],[Output]],LEN(Table246[[#This Row],[Output]])-FIND("=",Table246[[#This Row],[Output]])-1)</f>
        <v>1.211</v>
      </c>
      <c r="K3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8" spans="1:14" ht="16" thickTop="1" thickBot="1">
      <c r="A38" s="7" t="s">
        <v>40</v>
      </c>
      <c r="B38" s="2" t="str">
        <f>SUBSTITUTE(SUBSTITUTE(SUBSTITUTE(Table246[[#This Row],[Standard Attributes List]]," ",""),".",""),"-","")</f>
        <v>OPERATIONSMANUAL</v>
      </c>
      <c r="C38" s="3" t="s">
        <v>293</v>
      </c>
      <c r="D38" s="3" t="str">
        <f>SUBSTITUTE(SUBSTITUTE(SUBSTITUTE(LEFT(Table246[[#This Row],[Reference]],FIND("=",Table246[[#This Row],[Reference]])-2)," ",""),".",""),"-","")</f>
        <v>OPERATIONSMANUAL</v>
      </c>
      <c r="E38" s="22" t="str">
        <f>TRIM(RIGHT(Table246[[#This Row],[Reference]],LEN(Table246[[#This Row],[Reference]])-FIND("=",Table246[[#This Row],[Reference]])-1))</f>
        <v>IT# 3892639</v>
      </c>
      <c r="F38" s="3" t="str">
        <f>VLOOKUP(Table246[[#This Row],[Condensed Value]],D:E,2,FALSE)</f>
        <v>IT# 3892639</v>
      </c>
      <c r="G38" s="3"/>
      <c r="H38" s="4" t="str">
        <f>CONCATENATE(Table246[[#This Row],[Standard Attributes List]]," = ",IF(Table246[[#This Row],[Overwrite Value]]="",Table246[[#This Row],[Ref. Value]],Table246[[#This Row],[Overwrite Value]]))</f>
        <v>OPERATIONS MANUAL = IT# 3892639</v>
      </c>
      <c r="I38" t="str">
        <f>IF(Table246[[#This Row],[Reference]]=Table246[[#This Row],[Output]],"OK","NG")</f>
        <v>OK</v>
      </c>
      <c r="J38" s="2" t="str">
        <f>RIGHT(Table246[[#This Row],[Output]],LEN(Table246[[#This Row],[Output]])-FIND("=",Table246[[#This Row],[Output]])-1)</f>
        <v>IT# 3892639</v>
      </c>
      <c r="K3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9" spans="1:14" ht="16" thickTop="1" thickBot="1">
      <c r="A39" s="7" t="s">
        <v>10</v>
      </c>
      <c r="B39" s="2" t="str">
        <f>SUBSTITUTE(SUBSTITUTE(SUBSTITUTE(Table246[[#This Row],[Standard Attributes List]]," ",""),".",""),"-","")</f>
        <v>OVERALLLENGTH(IN)</v>
      </c>
      <c r="C39" s="3" t="s">
        <v>326</v>
      </c>
      <c r="D39" s="3" t="str">
        <f>SUBSTITUTE(SUBSTITUTE(SUBSTITUTE(LEFT(Table246[[#This Row],[Reference]],FIND("=",Table246[[#This Row],[Reference]])-2)," ",""),".",""),"-","")</f>
        <v>OVERALLLENGTH(IN)</v>
      </c>
      <c r="E39" s="22" t="str">
        <f>TRIM(RIGHT(Table246[[#This Row],[Reference]],LEN(Table246[[#This Row],[Reference]])-FIND("=",Table246[[#This Row],[Reference]])-1))</f>
        <v>103</v>
      </c>
      <c r="F39" s="3" t="str">
        <f>VLOOKUP(Table246[[#This Row],[Condensed Value]],D:E,2,FALSE)</f>
        <v>103</v>
      </c>
      <c r="G39" s="3"/>
      <c r="H39" s="4" t="str">
        <f>CONCATENATE(Table246[[#This Row],[Standard Attributes List]]," = ",IF(Table246[[#This Row],[Overwrite Value]]="",Table246[[#This Row],[Ref. Value]],Table246[[#This Row],[Overwrite Value]]))</f>
        <v>OVERALL LENGTH (IN) = 103</v>
      </c>
      <c r="I39" t="str">
        <f>IF(Table246[[#This Row],[Reference]]=Table246[[#This Row],[Output]],"OK","NG")</f>
        <v>OK</v>
      </c>
      <c r="J39" s="2" t="str">
        <f>RIGHT(Table246[[#This Row],[Output]],LEN(Table246[[#This Row],[Output]])-FIND("=",Table246[[#This Row],[Output]])-1)</f>
        <v>103</v>
      </c>
      <c r="K3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40" spans="1:14" ht="16" thickTop="1" thickBot="1">
      <c r="A40" s="7" t="s">
        <v>25</v>
      </c>
      <c r="B40" s="2" t="str">
        <f>SUBSTITUTE(SUBSTITUTE(SUBSTITUTE(Table246[[#This Row],[Standard Attributes List]]," ",""),".",""),"-","")</f>
        <v>PACKERENVELOPEPOINTSISOLATEDLOAD(LBS)</v>
      </c>
      <c r="C40" s="3" t="s">
        <v>327</v>
      </c>
      <c r="D40" s="3" t="str">
        <f>SUBSTITUTE(SUBSTITUTE(SUBSTITUTE(LEFT(Table246[[#This Row],[Reference]],FIND("=",Table246[[#This Row],[Reference]])-2)," ",""),".",""),"-","")</f>
        <v>PACKERENVELOPEPOINTSISOLATEDLOAD(LBS)</v>
      </c>
      <c r="E40" s="22" t="str">
        <f>TRIM(RIGHT(Table246[[#This Row],[Reference]],LEN(Table246[[#This Row],[Reference]])-FIND("=",Table246[[#This Row],[Reference]])-1))</f>
        <v>45000, 45000, 26780, -62540, -85000, -39955</v>
      </c>
      <c r="F40" s="3" t="str">
        <f>VLOOKUP(Table246[[#This Row],[Condensed Value]],D:E,2,FALSE)</f>
        <v>45000, 45000, 26780, -62540, -85000, -39955</v>
      </c>
      <c r="G40" s="3"/>
      <c r="H40" s="4" t="str">
        <f>CONCATENATE(Table246[[#This Row],[Standard Attributes List]]," = ",IF(Table246[[#This Row],[Overwrite Value]]="",Table246[[#This Row],[Ref. Value]],Table246[[#This Row],[Overwrite Value]]))</f>
        <v>PACKER ENVELOPE POINTS ISOLATED - LOAD (LBS) = 45000, 45000, 26780, -62540, -85000, -39955</v>
      </c>
      <c r="I40" t="str">
        <f>IF(Table246[[#This Row],[Reference]]=Table246[[#This Row],[Output]],"OK","NG")</f>
        <v>OK</v>
      </c>
      <c r="J40" s="2" t="str">
        <f>RIGHT(Table246[[#This Row],[Output]],LEN(Table246[[#This Row],[Output]])-FIND("=",Table246[[#This Row],[Output]])-1)</f>
        <v>45000, 45000, 26780, -62540, -85000, -39955</v>
      </c>
      <c r="K4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0" s="11"/>
      <c r="N40" s="11"/>
    </row>
    <row r="41" spans="1:14" ht="16" thickTop="1" thickBot="1">
      <c r="A41" s="7" t="s">
        <v>26</v>
      </c>
      <c r="B41" s="2" t="str">
        <f>SUBSTITUTE(SUBSTITUTE(SUBSTITUTE(Table246[[#This Row],[Standard Attributes List]]," ",""),".",""),"-","")</f>
        <v>PACKERENVELOPEPOINTSISOLATEDPRESSURE(PSI)</v>
      </c>
      <c r="C41" s="3" t="s">
        <v>294</v>
      </c>
      <c r="D41" s="3" t="str">
        <f>SUBSTITUTE(SUBSTITUTE(SUBSTITUTE(LEFT(Table246[[#This Row],[Reference]],FIND("=",Table246[[#This Row],[Reference]])-2)," ",""),".",""),"-","")</f>
        <v>PACKERENVELOPEPOINTSISOLATEDPRESSURE(PSI)</v>
      </c>
      <c r="E41" s="22" t="str">
        <f>TRIM(RIGHT(Table246[[#This Row],[Reference]],LEN(Table246[[#This Row],[Reference]])-FIND("=",Table246[[#This Row],[Reference]])-1))</f>
        <v>-5000, 0, 4500, 4500, 0, -5000</v>
      </c>
      <c r="F41" s="3" t="str">
        <f>VLOOKUP(Table246[[#This Row],[Condensed Value]],D:E,2,FALSE)</f>
        <v>-5000, 0, 4500, 4500, 0, -5000</v>
      </c>
      <c r="G41" s="3"/>
      <c r="H41" s="4" t="str">
        <f>CONCATENATE(Table246[[#This Row],[Standard Attributes List]]," = ",IF(Table246[[#This Row],[Overwrite Value]]="",Table246[[#This Row],[Ref. Value]],Table246[[#This Row],[Overwrite Value]]))</f>
        <v>PACKER ENVELOPE POINTS ISOLATED - PRESSURE (PSI) = -5000, 0, 4500, 4500, 0, -5000</v>
      </c>
      <c r="I41" t="str">
        <f>IF(Table246[[#This Row],[Reference]]=Table246[[#This Row],[Output]],"OK","NG")</f>
        <v>OK</v>
      </c>
      <c r="J41" s="2" t="str">
        <f>RIGHT(Table246[[#This Row],[Output]],LEN(Table246[[#This Row],[Output]])-FIND("=",Table246[[#This Row],[Output]])-1)</f>
        <v>-5000, 0, 4500, 4500, 0, -5000</v>
      </c>
      <c r="K41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1" s="11"/>
      <c r="N41" s="11"/>
    </row>
    <row r="42" spans="1:14" ht="16" thickTop="1" thickBot="1">
      <c r="A42" s="7" t="s">
        <v>27</v>
      </c>
      <c r="B42" s="2" t="str">
        <f>SUBSTITUTE(SUBSTITUTE(SUBSTITUTE(Table246[[#This Row],[Standard Attributes List]]," ",""),".",""),"-","")</f>
        <v>PACKERENVELOPEPOINTSPLUGGEDBELOWLOAD(LBS)</v>
      </c>
      <c r="C42" s="3" t="s">
        <v>214</v>
      </c>
      <c r="D42" s="3" t="str">
        <f>SUBSTITUTE(SUBSTITUTE(SUBSTITUTE(LEFT(Table246[[#This Row],[Reference]],FIND("=",Table246[[#This Row],[Reference]])-2)," ",""),".",""),"-","")</f>
        <v>PACKERENVELOPEPOINTSPLUGGEDBELOWLOAD(LBS)</v>
      </c>
      <c r="E42" s="22" t="str">
        <f>TRIM(RIGHT(Table246[[#This Row],[Reference]],LEN(Table246[[#This Row],[Reference]])-FIND("=",Table246[[#This Row],[Reference]])-1))</f>
        <v>NA</v>
      </c>
      <c r="F42" s="3" t="str">
        <f>VLOOKUP(Table246[[#This Row],[Condensed Value]],D:E,2,FALSE)</f>
        <v>NA</v>
      </c>
      <c r="G42" s="3"/>
      <c r="H42" s="4" t="str">
        <f>CONCATENATE(Table246[[#This Row],[Standard Attributes List]]," = ",IF(Table246[[#This Row],[Overwrite Value]]="",Table246[[#This Row],[Ref. Value]],Table246[[#This Row],[Overwrite Value]]))</f>
        <v>PACKER ENVELOPE POINTS PLUGGED - BELOW - LOAD (LBS) = NA</v>
      </c>
      <c r="I42" t="str">
        <f>IF(Table246[[#This Row],[Reference]]=Table246[[#This Row],[Output]],"OK","NG")</f>
        <v>OK</v>
      </c>
      <c r="J42" s="2" t="str">
        <f>RIGHT(Table246[[#This Row],[Output]],LEN(Table246[[#This Row],[Output]])-FIND("=",Table246[[#This Row],[Output]])-1)</f>
        <v>NA</v>
      </c>
      <c r="K4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2" s="11"/>
      <c r="N42" s="11"/>
    </row>
    <row r="43" spans="1:14" ht="16" thickTop="1" thickBot="1">
      <c r="A43" s="7" t="s">
        <v>28</v>
      </c>
      <c r="B43" s="2" t="str">
        <f>SUBSTITUTE(SUBSTITUTE(SUBSTITUTE(Table246[[#This Row],[Standard Attributes List]]," ",""),".",""),"-","")</f>
        <v>PACKERENVELOPEPOINTSPLUGGEDBELOWPRESSURE(PSI)</v>
      </c>
      <c r="C43" s="3" t="s">
        <v>215</v>
      </c>
      <c r="D43" s="3" t="str">
        <f>SUBSTITUTE(SUBSTITUTE(SUBSTITUTE(LEFT(Table246[[#This Row],[Reference]],FIND("=",Table246[[#This Row],[Reference]])-2)," ",""),".",""),"-","")</f>
        <v>PACKERENVELOPEPOINTSPLUGGEDBELOWPRESSURE(PSI)</v>
      </c>
      <c r="E43" s="22" t="str">
        <f>TRIM(RIGHT(Table246[[#This Row],[Reference]],LEN(Table246[[#This Row],[Reference]])-FIND("=",Table246[[#This Row],[Reference]])-1))</f>
        <v>NA</v>
      </c>
      <c r="F43" s="3" t="str">
        <f>VLOOKUP(Table246[[#This Row],[Condensed Value]],D:E,2,FALSE)</f>
        <v>NA</v>
      </c>
      <c r="G43" s="3"/>
      <c r="H43" s="4" t="str">
        <f>CONCATENATE(Table246[[#This Row],[Standard Attributes List]]," = ",IF(Table246[[#This Row],[Overwrite Value]]="",Table246[[#This Row],[Ref. Value]],Table246[[#This Row],[Overwrite Value]]))</f>
        <v>PACKER ENVELOPE POINTS PLUGGED - BELOW - PRESSURE (PSI) = NA</v>
      </c>
      <c r="I43" t="str">
        <f>IF(Table246[[#This Row],[Reference]]=Table246[[#This Row],[Output]],"OK","NG")</f>
        <v>OK</v>
      </c>
      <c r="J43" s="2" t="str">
        <f>RIGHT(Table246[[#This Row],[Output]],LEN(Table246[[#This Row],[Output]])-FIND("=",Table246[[#This Row],[Output]])-1)</f>
        <v>NA</v>
      </c>
      <c r="K4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3" s="11"/>
      <c r="N43" s="11"/>
    </row>
    <row r="44" spans="1:14" ht="16" thickTop="1" thickBot="1">
      <c r="A44" s="7" t="s">
        <v>29</v>
      </c>
      <c r="B44" s="2" t="str">
        <f>SUBSTITUTE(SUBSTITUTE(SUBSTITUTE(Table246[[#This Row],[Standard Attributes List]]," ",""),".",""),"-","")</f>
        <v>PACKERENVELOPEPOINTSUNPLUGGEDLOAD(LBS)</v>
      </c>
      <c r="C44" s="3" t="s">
        <v>328</v>
      </c>
      <c r="D44" s="3" t="str">
        <f>SUBSTITUTE(SUBSTITUTE(SUBSTITUTE(LEFT(Table246[[#This Row],[Reference]],FIND("=",Table246[[#This Row],[Reference]])-2)," ",""),".",""),"-","")</f>
        <v>PACKERENVELOPEPOINTSUNPLUGGEDLOAD(LBS)</v>
      </c>
      <c r="E44" s="22" t="str">
        <f>TRIM(RIGHT(Table246[[#This Row],[Reference]],LEN(Table246[[#This Row],[Reference]])-FIND("=",Table246[[#This Row],[Reference]])-1))</f>
        <v>45000, 45000, 24755, -60045, -85000, -39955</v>
      </c>
      <c r="F44" s="3" t="str">
        <f>VLOOKUP(Table246[[#This Row],[Condensed Value]],D:E,2,FALSE)</f>
        <v>45000, 45000, 24755, -60045, -85000, -39955</v>
      </c>
      <c r="G44" s="3"/>
      <c r="H44" s="4" t="str">
        <f>CONCATENATE(Table246[[#This Row],[Standard Attributes List]]," = ",IF(Table246[[#This Row],[Overwrite Value]]="",Table246[[#This Row],[Ref. Value]],Table246[[#This Row],[Overwrite Value]]))</f>
        <v>PACKER ENVELOPE POINTS UNPLUGGED - LOAD (LBS) = 45000, 45000, 24755, -60045, -85000, -39955</v>
      </c>
      <c r="I44" t="str">
        <f>IF(Table246[[#This Row],[Reference]]=Table246[[#This Row],[Output]],"OK","NG")</f>
        <v>OK</v>
      </c>
      <c r="J44" s="2" t="str">
        <f>RIGHT(Table246[[#This Row],[Output]],LEN(Table246[[#This Row],[Output]])-FIND("=",Table246[[#This Row],[Output]])-1)</f>
        <v>45000, 45000, 24755, -60045, -85000, -39955</v>
      </c>
      <c r="K4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4" s="11"/>
      <c r="N44" s="11"/>
    </row>
    <row r="45" spans="1:14" ht="16" thickTop="1" thickBot="1">
      <c r="A45" s="7" t="s">
        <v>30</v>
      </c>
      <c r="B45" s="2" t="str">
        <f>SUBSTITUTE(SUBSTITUTE(SUBSTITUTE(Table246[[#This Row],[Standard Attributes List]]," ",""),".",""),"-","")</f>
        <v>PACKERENVELOPEPOINTSUNPLUGGEDPRESSURE(PSI)</v>
      </c>
      <c r="C45" s="3" t="s">
        <v>295</v>
      </c>
      <c r="D45" s="3" t="str">
        <f>SUBSTITUTE(SUBSTITUTE(SUBSTITUTE(LEFT(Table246[[#This Row],[Reference]],FIND("=",Table246[[#This Row],[Reference]])-2)," ",""),".",""),"-","")</f>
        <v>PACKERENVELOPEPOINTSUNPLUGGEDPRESSURE(PSI)</v>
      </c>
      <c r="E45" s="22" t="str">
        <f>TRIM(RIGHT(Table246[[#This Row],[Reference]],LEN(Table246[[#This Row],[Reference]])-FIND("=",Table246[[#This Row],[Reference]])-1))</f>
        <v>-5000, 0, 5000, 5000, 0, -5000</v>
      </c>
      <c r="F45" s="3" t="str">
        <f>VLOOKUP(Table246[[#This Row],[Condensed Value]],D:E,2,FALSE)</f>
        <v>-5000, 0, 5000, 5000, 0, -5000</v>
      </c>
      <c r="G45" s="3"/>
      <c r="H45" s="4" t="str">
        <f>CONCATENATE(Table246[[#This Row],[Standard Attributes List]]," = ",IF(Table246[[#This Row],[Overwrite Value]]="",Table246[[#This Row],[Ref. Value]],Table246[[#This Row],[Overwrite Value]]))</f>
        <v>PACKER ENVELOPE POINTS UNPLUGGED - PRESSURE (PSI) = -5000, 0, 5000, 5000, 0, -5000</v>
      </c>
      <c r="I45" t="str">
        <f>IF(Table246[[#This Row],[Reference]]=Table246[[#This Row],[Output]],"OK","NG")</f>
        <v>OK</v>
      </c>
      <c r="J45" s="2" t="str">
        <f>RIGHT(Table246[[#This Row],[Output]],LEN(Table246[[#This Row],[Output]])-FIND("=",Table246[[#This Row],[Output]])-1)</f>
        <v>-5000, 0, 5000, 5000, 0, -5000</v>
      </c>
      <c r="K4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5" s="11"/>
      <c r="N45" s="11"/>
    </row>
    <row r="46" spans="1:14" ht="16" thickTop="1" thickBot="1">
      <c r="A46" s="7" t="s">
        <v>41</v>
      </c>
      <c r="B46" s="2" t="str">
        <f>SUBSTITUTE(SUBSTITUTE(SUBSTITUTE(Table246[[#This Row],[Standard Attributes List]]," ",""),".",""),"-","")</f>
        <v>QUALITYCONTROLGRADE</v>
      </c>
      <c r="C46" s="3" t="s">
        <v>60</v>
      </c>
      <c r="D46" s="3" t="str">
        <f>SUBSTITUTE(SUBSTITUTE(SUBSTITUTE(LEFT(Table246[[#This Row],[Reference]],FIND("=",Table246[[#This Row],[Reference]])-2)," ",""),".",""),"-","")</f>
        <v>QUALITYCONTROLGRADE</v>
      </c>
      <c r="E46" s="22" t="str">
        <f>TRIM(RIGHT(Table246[[#This Row],[Reference]],LEN(Table246[[#This Row],[Reference]])-FIND("=",Table246[[#This Row],[Reference]])-1))</f>
        <v>Q3</v>
      </c>
      <c r="F46" s="3" t="str">
        <f>VLOOKUP(Table246[[#This Row],[Condensed Value]],D:E,2,FALSE)</f>
        <v>Q3</v>
      </c>
      <c r="G46" s="3"/>
      <c r="H46" s="4" t="str">
        <f>CONCATENATE(Table246[[#This Row],[Standard Attributes List]]," = ",IF(Table246[[#This Row],[Overwrite Value]]="",Table246[[#This Row],[Ref. Value]],Table246[[#This Row],[Overwrite Value]]))</f>
        <v>QUALITY CONTROL GRADE = Q3</v>
      </c>
      <c r="I46" t="str">
        <f>IF(Table246[[#This Row],[Reference]]=Table246[[#This Row],[Output]],"OK","NG")</f>
        <v>OK</v>
      </c>
      <c r="J46" s="2" t="str">
        <f>RIGHT(Table246[[#This Row],[Output]],LEN(Table246[[#This Row],[Output]])-FIND("=",Table246[[#This Row],[Output]])-1)</f>
        <v>Q3</v>
      </c>
      <c r="K4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6" s="11"/>
      <c r="N46" s="11"/>
    </row>
    <row r="47" spans="1:14" ht="16" thickTop="1" thickBot="1">
      <c r="A47" s="7" t="s">
        <v>11</v>
      </c>
      <c r="B47" s="2" t="str">
        <f>SUBSTITUTE(SUBSTITUTE(SUBSTITUTE(Table246[[#This Row],[Standard Attributes List]]," ",""),".",""),"-","")</f>
        <v>QUALITYCONTROLPLANQCP</v>
      </c>
      <c r="C47" s="3" t="s">
        <v>329</v>
      </c>
      <c r="D47" s="3" t="str">
        <f>SUBSTITUTE(SUBSTITUTE(SUBSTITUTE(LEFT(Table246[[#This Row],[Reference]],FIND("=",Table246[[#This Row],[Reference]])-2)," ",""),".",""),"-","")</f>
        <v>QUALITYCONTROLPLANQCP</v>
      </c>
      <c r="E47" s="22" t="str">
        <f>TRIM(RIGHT(Table246[[#This Row],[Reference]],LEN(Table246[[#This Row],[Reference]])-FIND("=",Table246[[#This Row],[Reference]])-1))</f>
        <v>QCP-101507301</v>
      </c>
      <c r="F47" s="3" t="str">
        <f>VLOOKUP(Table246[[#This Row],[Condensed Value]],D:E,2,FALSE)</f>
        <v>QCP-101507301</v>
      </c>
      <c r="G47" s="3"/>
      <c r="H47" s="4" t="str">
        <f>CONCATENATE(Table246[[#This Row],[Standard Attributes List]]," = ",IF(Table246[[#This Row],[Overwrite Value]]="",Table246[[#This Row],[Ref. Value]],Table246[[#This Row],[Overwrite Value]]))</f>
        <v>QUALITY CONTROL PLAN - QCP = QCP-101507301</v>
      </c>
      <c r="I47" t="str">
        <f>IF(Table246[[#This Row],[Reference]]=Table246[[#This Row],[Output]],"OK","NG")</f>
        <v>OK</v>
      </c>
      <c r="J47" s="2" t="str">
        <f>RIGHT(Table246[[#This Row],[Output]],LEN(Table246[[#This Row],[Output]])-FIND("=",Table246[[#This Row],[Output]])-1)</f>
        <v>QCP-101507301</v>
      </c>
      <c r="K4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7" s="11"/>
      <c r="N47" s="11"/>
    </row>
    <row r="48" spans="1:14" ht="16" thickTop="1" thickBot="1">
      <c r="A48" s="7" t="s">
        <v>42</v>
      </c>
      <c r="B48" s="2" t="str">
        <f>SUBSTITUTE(SUBSTITUTE(SUBSTITUTE(Table246[[#This Row],[Standard Attributes List]]," ",""),".",""),"-","")</f>
        <v>RETRIEVALMETHOD</v>
      </c>
      <c r="C48" s="3" t="s">
        <v>296</v>
      </c>
      <c r="D48" s="3" t="str">
        <f>SUBSTITUTE(SUBSTITUTE(SUBSTITUTE(LEFT(Table246[[#This Row],[Reference]],FIND("=",Table246[[#This Row],[Reference]])-2)," ",""),".",""),"-","")</f>
        <v>RETRIEVALMETHOD</v>
      </c>
      <c r="E48" s="22" t="str">
        <f>TRIM(RIGHT(Table246[[#This Row],[Reference]],LEN(Table246[[#This Row],[Reference]])-FIND("=",Table246[[#This Row],[Reference]])-1))</f>
        <v>STRAIGHT-PULL-RELEASE</v>
      </c>
      <c r="F48" s="3" t="str">
        <f>VLOOKUP(Table246[[#This Row],[Condensed Value]],D:E,2,FALSE)</f>
        <v>STRAIGHT-PULL-RELEASE</v>
      </c>
      <c r="G48" s="3"/>
      <c r="H48" s="4" t="str">
        <f>CONCATENATE(Table246[[#This Row],[Standard Attributes List]]," = ",IF(Table246[[#This Row],[Overwrite Value]]="",Table246[[#This Row],[Ref. Value]],Table246[[#This Row],[Overwrite Value]]))</f>
        <v>RETRIEVAL METHOD = STRAIGHT-PULL-RELEASE</v>
      </c>
      <c r="I48" t="str">
        <f>IF(Table246[[#This Row],[Reference]]=Table246[[#This Row],[Output]],"OK","NG")</f>
        <v>OK</v>
      </c>
      <c r="J48" s="2" t="str">
        <f>RIGHT(Table246[[#This Row],[Output]],LEN(Table246[[#This Row],[Output]])-FIND("=",Table246[[#This Row],[Output]])-1)</f>
        <v>STRAIGHT-PULL-RELEASE</v>
      </c>
      <c r="K4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49" spans="1:11" ht="16" thickTop="1" thickBot="1">
      <c r="A49" s="7" t="s">
        <v>31</v>
      </c>
      <c r="B49" s="2" t="str">
        <f>SUBSTITUTE(SUBSTITUTE(SUBSTITUTE(Table246[[#This Row],[Standard Attributes List]]," ",""),".",""),"-","")</f>
        <v>SEALDIAMETER(IN)</v>
      </c>
      <c r="C49" s="3" t="s">
        <v>297</v>
      </c>
      <c r="D49" s="3" t="str">
        <f>SUBSTITUTE(SUBSTITUTE(SUBSTITUTE(LEFT(Table246[[#This Row],[Reference]],FIND("=",Table246[[#This Row],[Reference]])-2)," ",""),".",""),"-","")</f>
        <v>SEALDIAMETER(IN)</v>
      </c>
      <c r="E49" s="22" t="str">
        <f>TRIM(RIGHT(Table246[[#This Row],[Reference]],LEN(Table246[[#This Row],[Reference]])-FIND("=",Table246[[#This Row],[Reference]])-1))</f>
        <v>3.848</v>
      </c>
      <c r="F49" s="3" t="str">
        <f>VLOOKUP(Table246[[#This Row],[Condensed Value]],D:E,2,FALSE)</f>
        <v>3.848</v>
      </c>
      <c r="G49" s="3"/>
      <c r="H49" s="4" t="str">
        <f>CONCATENATE(Table246[[#This Row],[Standard Attributes List]]," = ",IF(Table246[[#This Row],[Overwrite Value]]="",Table246[[#This Row],[Ref. Value]],Table246[[#This Row],[Overwrite Value]]))</f>
        <v>SEAL DIAMETER (IN) = 3.848</v>
      </c>
      <c r="I49" t="str">
        <f>IF(Table246[[#This Row],[Reference]]=Table246[[#This Row],[Output]],"OK","NG")</f>
        <v>OK</v>
      </c>
      <c r="J49" s="2" t="str">
        <f>RIGHT(Table246[[#This Row],[Output]],LEN(Table246[[#This Row],[Output]])-FIND("=",Table246[[#This Row],[Output]])-1)</f>
        <v>3.848</v>
      </c>
      <c r="K4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0" spans="1:11" ht="16" thickTop="1" thickBot="1">
      <c r="A50" s="7" t="s">
        <v>12</v>
      </c>
      <c r="B50" s="2" t="str">
        <f>SUBSTITUTE(SUBSTITUTE(SUBSTITUTE(Table246[[#This Row],[Standard Attributes List]]," ",""),".",""),"-","")</f>
        <v>SERVICENACE(YES/NO)</v>
      </c>
      <c r="C50" s="3" t="s">
        <v>49</v>
      </c>
      <c r="D50" s="3" t="str">
        <f>SUBSTITUTE(SUBSTITUTE(SUBSTITUTE(LEFT(Table246[[#This Row],[Reference]],FIND("=",Table246[[#This Row],[Reference]])-2)," ",""),".",""),"-","")</f>
        <v>SERVICENACE(YES/NO)</v>
      </c>
      <c r="E50" s="22" t="str">
        <f>TRIM(RIGHT(Table246[[#This Row],[Reference]],LEN(Table246[[#This Row],[Reference]])-FIND("=",Table246[[#This Row],[Reference]])-1))</f>
        <v>YES</v>
      </c>
      <c r="F50" s="3" t="str">
        <f>VLOOKUP(Table246[[#This Row],[Condensed Value]],D:E,2,FALSE)</f>
        <v>YES</v>
      </c>
      <c r="G50" s="3"/>
      <c r="H50" s="4" t="str">
        <f>CONCATENATE(Table246[[#This Row],[Standard Attributes List]]," = ",IF(Table246[[#This Row],[Overwrite Value]]="",Table246[[#This Row],[Ref. Value]],Table246[[#This Row],[Overwrite Value]]))</f>
        <v>SERVICE NACE (YES/NO) = YES</v>
      </c>
      <c r="I50" t="str">
        <f>IF(Table246[[#This Row],[Reference]]=Table246[[#This Row],[Output]],"OK","NG")</f>
        <v>OK</v>
      </c>
      <c r="J50" s="2" t="str">
        <f>RIGHT(Table246[[#This Row],[Output]],LEN(Table246[[#This Row],[Output]])-FIND("=",Table246[[#This Row],[Output]])-1)</f>
        <v>YES</v>
      </c>
      <c r="K5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1" spans="1:11" ht="16" thickTop="1" thickBot="1">
      <c r="A51" s="7" t="s">
        <v>32</v>
      </c>
      <c r="B51" s="2" t="str">
        <f>SUBSTITUTE(SUBSTITUTE(SUBSTITUTE(Table246[[#This Row],[Standard Attributes List]]," ",""),".",""),"-","")</f>
        <v>SETTINGDIFFERENTIALPRESSURERECOMMENDED(MIN)(PSI)</v>
      </c>
      <c r="C51" s="3" t="s">
        <v>298</v>
      </c>
      <c r="D51" s="3" t="str">
        <f>SUBSTITUTE(SUBSTITUTE(SUBSTITUTE(LEFT(Table246[[#This Row],[Reference]],FIND("=",Table246[[#This Row],[Reference]])-2)," ",""),".",""),"-","")</f>
        <v>SETTINGDIFFERENTIALPRESSURERECOMMENDED(MIN)(PSI)</v>
      </c>
      <c r="E51" s="22" t="str">
        <f>TRIM(RIGHT(Table246[[#This Row],[Reference]],LEN(Table246[[#This Row],[Reference]])-FIND("=",Table246[[#This Row],[Reference]])-1))</f>
        <v>3500</v>
      </c>
      <c r="F51" s="3" t="str">
        <f>VLOOKUP(Table246[[#This Row],[Condensed Value]],D:E,2,FALSE)</f>
        <v>3500</v>
      </c>
      <c r="G51" s="3"/>
      <c r="H51" s="4" t="str">
        <f>CONCATENATE(Table246[[#This Row],[Standard Attributes List]]," = ",IF(Table246[[#This Row],[Overwrite Value]]="",Table246[[#This Row],[Ref. Value]],Table246[[#This Row],[Overwrite Value]]))</f>
        <v>SETTING DIFFERENTIAL PRESSURE - RECOMMENDED (MIN)(PSI) = 3500</v>
      </c>
      <c r="I51" t="str">
        <f>IF(Table246[[#This Row],[Reference]]=Table246[[#This Row],[Output]],"OK","NG")</f>
        <v>OK</v>
      </c>
      <c r="J51" s="2" t="str">
        <f>RIGHT(Table246[[#This Row],[Output]],LEN(Table246[[#This Row],[Output]])-FIND("=",Table246[[#This Row],[Output]])-1)</f>
        <v>3500</v>
      </c>
      <c r="K51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2" spans="1:11" ht="16" thickTop="1" thickBot="1">
      <c r="A52" s="7" t="s">
        <v>254</v>
      </c>
      <c r="B52" s="15" t="str">
        <f>SUBSTITUTE(SUBSTITUTE(SUBSTITUTE(Table246[[#This Row],[Standard Attributes List]]," ",""),".",""),"-","")</f>
        <v>SETTINGMANDREL(PRIMARY/SECONDARY)</v>
      </c>
      <c r="C52" s="3" t="s">
        <v>309</v>
      </c>
      <c r="D52" s="16" t="str">
        <f>SUBSTITUTE(SUBSTITUTE(SUBSTITUTE(LEFT(Table246[[#This Row],[Reference]],FIND("=",Table246[[#This Row],[Reference]])-2)," ",""),".",""),"-","")</f>
        <v>SETTINGMANDREL(PRIMARY/SECONDARY)</v>
      </c>
      <c r="E52" s="22" t="str">
        <f>TRIM(RIGHT(Table246[[#This Row],[Reference]],LEN(Table246[[#This Row],[Reference]])-FIND("=",Table246[[#This Row],[Reference]])-1))</f>
        <v>PRIMARY</v>
      </c>
      <c r="F52" s="3" t="str">
        <f>VLOOKUP(Table246[[#This Row],[Condensed Value]],D:E,2,FALSE)</f>
        <v>PRIMARY</v>
      </c>
      <c r="G52" s="3"/>
      <c r="H52" s="14" t="str">
        <f>CONCATENATE(Table246[[#This Row],[Standard Attributes List]]," = ",IF(Table246[[#This Row],[Overwrite Value]]="",Table246[[#This Row],[Ref. Value]],Table246[[#This Row],[Overwrite Value]]))</f>
        <v>SETTING MANDREL (PRIMARY/SECONDARY) = PRIMARY</v>
      </c>
      <c r="I52" s="17" t="str">
        <f>IF(Table246[[#This Row],[Reference]]=Table246[[#This Row],[Output]],"OK","NG")</f>
        <v>OK</v>
      </c>
      <c r="J52" s="15" t="str">
        <f>RIGHT(Table246[[#This Row],[Output]],LEN(Table246[[#This Row],[Output]])-FIND("=",Table246[[#This Row],[Output]])-1)</f>
        <v>PRIMARY</v>
      </c>
      <c r="K5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3" spans="1:11" ht="16" thickTop="1" thickBot="1">
      <c r="A53" s="7" t="s">
        <v>43</v>
      </c>
      <c r="B53" s="15" t="str">
        <f>SUBSTITUTE(SUBSTITUTE(SUBSTITUTE(Table246[[#This Row],[Standard Attributes List]]," ",""),".",""),"-","")</f>
        <v>SETTINGMETHOD</v>
      </c>
      <c r="C53" s="3" t="s">
        <v>99</v>
      </c>
      <c r="D53" s="16" t="str">
        <f>SUBSTITUTE(SUBSTITUTE(SUBSTITUTE(LEFT(Table246[[#This Row],[Reference]],FIND("=",Table246[[#This Row],[Reference]])-2)," ",""),".",""),"-","")</f>
        <v>SETTINGMETHOD</v>
      </c>
      <c r="E53" s="22" t="str">
        <f>TRIM(RIGHT(Table246[[#This Row],[Reference]],LEN(Table246[[#This Row],[Reference]])-FIND("=",Table246[[#This Row],[Reference]])-1))</f>
        <v>HYDRAULIC</v>
      </c>
      <c r="F53" s="3" t="str">
        <f>VLOOKUP(Table246[[#This Row],[Condensed Value]],D:E,2,FALSE)</f>
        <v>HYDRAULIC</v>
      </c>
      <c r="G53" s="3"/>
      <c r="H53" s="14" t="str">
        <f>CONCATENATE(Table246[[#This Row],[Standard Attributes List]]," = ",IF(Table246[[#This Row],[Overwrite Value]]="",Table246[[#This Row],[Ref. Value]],Table246[[#This Row],[Overwrite Value]]))</f>
        <v>SETTING METHOD = HYDRAULIC</v>
      </c>
      <c r="I53" s="17" t="str">
        <f>IF(Table246[[#This Row],[Reference]]=Table246[[#This Row],[Output]],"OK","NG")</f>
        <v>OK</v>
      </c>
      <c r="J53" s="15" t="str">
        <f>RIGHT(Table246[[#This Row],[Output]],LEN(Table246[[#This Row],[Output]])-FIND("=",Table246[[#This Row],[Output]])-1)</f>
        <v>HYDRAULIC</v>
      </c>
      <c r="K5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4" spans="1:11" ht="16" thickTop="1" thickBot="1">
      <c r="A54" s="7" t="s">
        <v>108</v>
      </c>
      <c r="B54" s="15" t="str">
        <f>SUBSTITUTE(SUBSTITUTE(SUBSTITUTE(Table246[[#This Row],[Standard Attributes List]]," ",""),".",""),"-","")</f>
        <v>SETTINGPRESSURE1STSHEAR(PSI)</v>
      </c>
      <c r="C54" s="3" t="s">
        <v>330</v>
      </c>
      <c r="D54" s="16" t="str">
        <f>SUBSTITUTE(SUBSTITUTE(SUBSTITUTE(LEFT(Table246[[#This Row],[Reference]],FIND("=",Table246[[#This Row],[Reference]])-2)," ",""),".",""),"-","")</f>
        <v>SETTINGPRESSURE1STSHEAR(PSI)</v>
      </c>
      <c r="E54" s="22" t="str">
        <f>TRIM(RIGHT(Table246[[#This Row],[Reference]],LEN(Table246[[#This Row],[Reference]])-FIND("=",Table246[[#This Row],[Reference]])-1))</f>
        <v>1047</v>
      </c>
      <c r="F54" s="3" t="str">
        <f>VLOOKUP(Table246[[#This Row],[Condensed Value]],D:E,2,FALSE)</f>
        <v>1047</v>
      </c>
      <c r="G54" s="3"/>
      <c r="H54" s="14" t="str">
        <f>CONCATENATE(Table246[[#This Row],[Standard Attributes List]]," = ",IF(Table246[[#This Row],[Overwrite Value]]="",Table246[[#This Row],[Ref. Value]],Table246[[#This Row],[Overwrite Value]]))</f>
        <v>SETTING PRESSURE 1ST SHEAR (PSI) = 1047</v>
      </c>
      <c r="I54" s="17" t="str">
        <f>IF(Table246[[#This Row],[Reference]]=Table246[[#This Row],[Output]],"OK","NG")</f>
        <v>OK</v>
      </c>
      <c r="J54" s="15" t="str">
        <f>RIGHT(Table246[[#This Row],[Output]],LEN(Table246[[#This Row],[Output]])-FIND("=",Table246[[#This Row],[Output]])-1)</f>
        <v>1047</v>
      </c>
      <c r="K5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5" spans="1:11" ht="16" thickTop="1" thickBot="1">
      <c r="A55" s="7" t="s">
        <v>109</v>
      </c>
      <c r="B55" s="15" t="str">
        <f>SUBSTITUTE(SUBSTITUTE(SUBSTITUTE(Table246[[#This Row],[Standard Attributes List]]," ",""),".",""),"-","")</f>
        <v>SETTINGPRESSURESLIPENGAGEMENT(PSI)</v>
      </c>
      <c r="C55" s="3" t="s">
        <v>331</v>
      </c>
      <c r="D55" s="16" t="str">
        <f>SUBSTITUTE(SUBSTITUTE(SUBSTITUTE(LEFT(Table246[[#This Row],[Reference]],FIND("=",Table246[[#This Row],[Reference]])-2)," ",""),".",""),"-","")</f>
        <v>SETTINGPRESSURESLIPENGAGEMENT(PSI)</v>
      </c>
      <c r="E55" s="22" t="str">
        <f>TRIM(RIGHT(Table246[[#This Row],[Reference]],LEN(Table246[[#This Row],[Reference]])-FIND("=",Table246[[#This Row],[Reference]])-1))</f>
        <v>1172</v>
      </c>
      <c r="F55" s="3" t="str">
        <f>VLOOKUP(Table246[[#This Row],[Condensed Value]],D:E,2,FALSE)</f>
        <v>1172</v>
      </c>
      <c r="G55" s="3"/>
      <c r="H55" s="14" t="str">
        <f>CONCATENATE(Table246[[#This Row],[Standard Attributes List]]," = ",IF(Table246[[#This Row],[Overwrite Value]]="",Table246[[#This Row],[Ref. Value]],Table246[[#This Row],[Overwrite Value]]))</f>
        <v>SETTING PRESSURE SLIP ENGAGEMENT (PSI) = 1172</v>
      </c>
      <c r="I55" s="17" t="str">
        <f>IF(Table246[[#This Row],[Reference]]=Table246[[#This Row],[Output]],"OK","NG")</f>
        <v>OK</v>
      </c>
      <c r="J55" s="15" t="str">
        <f>RIGHT(Table246[[#This Row],[Output]],LEN(Table246[[#This Row],[Output]])-FIND("=",Table246[[#This Row],[Output]])-1)</f>
        <v>1172</v>
      </c>
      <c r="K5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6" spans="1:11" ht="16" thickTop="1" thickBot="1">
      <c r="A56" s="7" t="s">
        <v>224</v>
      </c>
      <c r="B56" s="15" t="str">
        <f>SUBSTITUTE(SUBSTITUTE(SUBSTITUTE(Table246[[#This Row],[Standard Attributes List]]," ",""),".",""),"-","")</f>
        <v>SHEARRELEASEFORCE(LB)</v>
      </c>
      <c r="C56" s="3" t="s">
        <v>299</v>
      </c>
      <c r="D56" s="16" t="str">
        <f>SUBSTITUTE(SUBSTITUTE(SUBSTITUTE(LEFT(Table246[[#This Row],[Reference]],FIND("=",Table246[[#This Row],[Reference]])-2)," ",""),".",""),"-","")</f>
        <v>SHEARRELEASEFORCE(LB)</v>
      </c>
      <c r="E56" s="22" t="str">
        <f>TRIM(RIGHT(Table246[[#This Row],[Reference]],LEN(Table246[[#This Row],[Reference]])-FIND("=",Table246[[#This Row],[Reference]])-1))</f>
        <v>60000</v>
      </c>
      <c r="F56" s="3" t="str">
        <f>VLOOKUP(Table246[[#This Row],[Condensed Value]],D:E,2,FALSE)</f>
        <v>60000</v>
      </c>
      <c r="G56" s="3"/>
      <c r="H56" s="14" t="str">
        <f>CONCATENATE(Table246[[#This Row],[Standard Attributes List]]," = ",IF(Table246[[#This Row],[Overwrite Value]]="",Table246[[#This Row],[Ref. Value]],Table246[[#This Row],[Overwrite Value]]))</f>
        <v>SHEAR RELEASE FORCE (LB) = 60000</v>
      </c>
      <c r="I56" s="17" t="str">
        <f>IF(Table246[[#This Row],[Reference]]=Table246[[#This Row],[Output]],"OK","NG")</f>
        <v>OK</v>
      </c>
      <c r="J56" s="15" t="str">
        <f>RIGHT(Table246[[#This Row],[Output]],LEN(Table246[[#This Row],[Output]])-FIND("=",Table246[[#This Row],[Output]])-1)</f>
        <v>60000</v>
      </c>
      <c r="K5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7" spans="1:11" ht="16" thickTop="1" thickBot="1">
      <c r="A57" s="7" t="s">
        <v>13</v>
      </c>
      <c r="B57" s="15" t="str">
        <f>SUBSTITUTE(SUBSTITUTE(SUBSTITUTE(Table246[[#This Row],[Standard Attributes List]]," ",""),".",""),"-","")</f>
        <v>TENSILESTRENGTH(LBS)EOECATSPECIFIEDTEMP(F)</v>
      </c>
      <c r="C57" s="3" t="s">
        <v>332</v>
      </c>
      <c r="D57" s="16" t="str">
        <f>SUBSTITUTE(SUBSTITUTE(SUBSTITUTE(LEFT(Table246[[#This Row],[Reference]],FIND("=",Table246[[#This Row],[Reference]])-2)," ",""),".",""),"-","")</f>
        <v>TENSILESTRENGTH(LBS)EOECATSPECIFIEDTEMP(F)</v>
      </c>
      <c r="E57" s="22" t="str">
        <f>TRIM(RIGHT(Table246[[#This Row],[Reference]],LEN(Table246[[#This Row],[Reference]])-FIND("=",Table246[[#This Row],[Reference]])-1))</f>
        <v>134500[250]</v>
      </c>
      <c r="F57" s="3" t="str">
        <f>VLOOKUP(Table246[[#This Row],[Condensed Value]],D:E,2,FALSE)</f>
        <v>134500[250]</v>
      </c>
      <c r="G57" s="3"/>
      <c r="H57" s="14" t="str">
        <f>CONCATENATE(Table246[[#This Row],[Standard Attributes List]]," = ",IF(Table246[[#This Row],[Overwrite Value]]="",Table246[[#This Row],[Ref. Value]],Table246[[#This Row],[Overwrite Value]]))</f>
        <v>TENSILE STRENGTH (LBS) - EOEC AT SPECIFIED TEMP (F) = 134500[250]</v>
      </c>
      <c r="I57" s="17" t="str">
        <f>IF(Table246[[#This Row],[Reference]]=Table246[[#This Row],[Output]],"OK","NG")</f>
        <v>OK</v>
      </c>
      <c r="J57" s="15" t="str">
        <f>RIGHT(Table246[[#This Row],[Output]],LEN(Table246[[#This Row],[Output]])-FIND("=",Table246[[#This Row],[Output]])-1)</f>
        <v>134500[250]</v>
      </c>
      <c r="K5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8" spans="1:11" ht="16" thickTop="1" thickBot="1">
      <c r="A58" s="7" t="s">
        <v>44</v>
      </c>
      <c r="B58" s="15" t="str">
        <f>SUBSTITUTE(SUBSTITUTE(SUBSTITUTE(Table246[[#This Row],[Standard Attributes List]]," ",""),".",""),"-","")</f>
        <v>TORQUECAPACITYEOEC(FTLBS)</v>
      </c>
      <c r="C58" s="3" t="s">
        <v>300</v>
      </c>
      <c r="D58" s="16" t="str">
        <f>SUBSTITUTE(SUBSTITUTE(SUBSTITUTE(LEFT(Table246[[#This Row],[Reference]],FIND("=",Table246[[#This Row],[Reference]])-2)," ",""),".",""),"-","")</f>
        <v>TORQUECAPACITYEOEC(FTLBS)</v>
      </c>
      <c r="E58" s="22" t="str">
        <f>TRIM(RIGHT(Table246[[#This Row],[Reference]],LEN(Table246[[#This Row],[Reference]])-FIND("=",Table246[[#This Row],[Reference]])-1))</f>
        <v>NA</v>
      </c>
      <c r="F58" s="3" t="str">
        <f>VLOOKUP(Table246[[#This Row],[Condensed Value]],D:E,2,FALSE)</f>
        <v>NA</v>
      </c>
      <c r="G58" s="3"/>
      <c r="H58" s="14" t="str">
        <f>CONCATENATE(Table246[[#This Row],[Standard Attributes List]]," = ",IF(Table246[[#This Row],[Overwrite Value]]="",Table246[[#This Row],[Ref. Value]],Table246[[#This Row],[Overwrite Value]]))</f>
        <v>TORQUE CAPACITY - EOEC (FT-LBS) = NA</v>
      </c>
      <c r="I58" s="17" t="str">
        <f>IF(Table246[[#This Row],[Reference]]=Table246[[#This Row],[Output]],"OK","NG")</f>
        <v>OK</v>
      </c>
      <c r="J58" s="15" t="str">
        <f>RIGHT(Table246[[#This Row],[Output]],LEN(Table246[[#This Row],[Output]])-FIND("=",Table246[[#This Row],[Output]])-1)</f>
        <v>NA</v>
      </c>
      <c r="K5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9" spans="1:11" ht="16" thickTop="1" thickBot="1">
      <c r="A59" s="7" t="s">
        <v>14</v>
      </c>
      <c r="B59" s="15" t="str">
        <f>SUBSTITUTE(SUBSTITUTE(SUBSTITUTE(Table246[[#This Row],[Standard Attributes List]]," ",""),".",""),"-","")</f>
        <v>UPPERTHREADCONNECTINGSIZE(IN),WT(PPF),TYPE,CONFIG</v>
      </c>
      <c r="C59" s="3" t="s">
        <v>333</v>
      </c>
      <c r="D59" s="16" t="str">
        <f>SUBSTITUTE(SUBSTITUTE(SUBSTITUTE(LEFT(Table246[[#This Row],[Reference]],FIND("=",Table246[[#This Row],[Reference]])-2)," ",""),".",""),"-","")</f>
        <v>UPPERTHREADCONNECTINGSIZE(IN),WT(PPF),TYPE,CONFIG</v>
      </c>
      <c r="E59" s="22" t="str">
        <f>TRIM(RIGHT(Table246[[#This Row],[Reference]],LEN(Table246[[#This Row],[Reference]])-FIND("=",Table246[[#This Row],[Reference]])-1))</f>
        <v>3.500, 9.2, VAM TOP, BOX</v>
      </c>
      <c r="F59" s="3" t="str">
        <f>VLOOKUP(Table246[[#This Row],[Condensed Value]],D:E,2,FALSE)</f>
        <v>3.500, 9.2, VAM TOP, BOX</v>
      </c>
      <c r="G59" s="3"/>
      <c r="H59" s="14" t="str">
        <f>CONCATENATE(Table246[[#This Row],[Standard Attributes List]]," = ",IF(Table246[[#This Row],[Overwrite Value]]="",Table246[[#This Row],[Ref. Value]],Table246[[#This Row],[Overwrite Value]]))</f>
        <v>UPPER THREAD CONNECTING - SIZE (IN), WT (PPF), TYPE, CONFIG = 3.500, 9.2, VAM TOP, BOX</v>
      </c>
      <c r="I59" s="17" t="str">
        <f>IF(Table246[[#This Row],[Reference]]=Table246[[#This Row],[Output]],"OK","NG")</f>
        <v>OK</v>
      </c>
      <c r="J59" s="15" t="str">
        <f>RIGHT(Table246[[#This Row],[Output]],LEN(Table246[[#This Row],[Output]])-FIND("=",Table246[[#This Row],[Output]])-1)</f>
        <v>3.500, 9.2, VAM TOP, BOX</v>
      </c>
      <c r="K5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60" spans="1:11" ht="16" thickTop="1" thickBot="1">
      <c r="A60" s="7" t="s">
        <v>259</v>
      </c>
      <c r="B60" s="15" t="str">
        <f>SUBSTITUTE(SUBSTITUTE(SUBSTITUTE(Table246[[#This Row],[Standard Attributes List]]," ",""),".",""),"-","")</f>
        <v>UPPERTHREADSECONDARYSIZE(IN),WT(PPF),TYPE,CONFIG</v>
      </c>
      <c r="C60" s="3" t="s">
        <v>306</v>
      </c>
      <c r="D60" s="16" t="str">
        <f>SUBSTITUTE(SUBSTITUTE(SUBSTITUTE(LEFT(Table246[[#This Row],[Reference]],FIND("=",Table246[[#This Row],[Reference]])-2)," ",""),".",""),"-","")</f>
        <v>UPPERTHREADSECONDARYSIZE(IN),WT(PPF),TYPE,CONFIG</v>
      </c>
      <c r="E60" s="22" t="str">
        <f>TRIM(RIGHT(Table246[[#This Row],[Reference]],LEN(Table246[[#This Row],[Reference]])-FIND("=",Table246[[#This Row],[Reference]])-1))</f>
        <v>2.375, 4.6, NUE, BOX</v>
      </c>
      <c r="F60" s="3" t="str">
        <f>VLOOKUP(Table246[[#This Row],[Condensed Value]],D:E,2,FALSE)</f>
        <v>2.375, 4.6, NUE, BOX</v>
      </c>
      <c r="G60" s="3"/>
      <c r="H60" s="14" t="str">
        <f>CONCATENATE(Table246[[#This Row],[Standard Attributes List]]," = ",IF(Table246[[#This Row],[Overwrite Value]]="",Table246[[#This Row],[Ref. Value]],Table246[[#This Row],[Overwrite Value]]))</f>
        <v>UPPER THREAD SECONDARY - SIZE (IN), WT (PPF), TYPE, CONFIG = 2.375, 4.6, NUE, BOX</v>
      </c>
      <c r="I60" s="17" t="str">
        <f>IF(Table246[[#This Row],[Reference]]=Table246[[#This Row],[Output]],"OK","NG")</f>
        <v>OK</v>
      </c>
      <c r="J60" s="15" t="str">
        <f>RIGHT(Table246[[#This Row],[Output]],LEN(Table246[[#This Row],[Output]])-FIND("=",Table246[[#This Row],[Output]])-1)</f>
        <v>2.375, 4.6, NUE, BOX</v>
      </c>
      <c r="K6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61" spans="1:11" ht="15" thickTop="1"/>
  </sheetData>
  <phoneticPr fontId="27" type="noConversion"/>
  <conditionalFormatting sqref="H2:H60">
    <cfRule type="expression" dxfId="10" priority="4">
      <formula>ISERROR($H2)</formula>
    </cfRule>
  </conditionalFormatting>
  <conditionalFormatting sqref="I61:J70">
    <cfRule type="expression" dxfId="9" priority="3">
      <formula>ISERROR($I61)</formula>
    </cfRule>
  </conditionalFormatting>
  <conditionalFormatting sqref="I2:I60">
    <cfRule type="expression" dxfId="8" priority="1">
      <formula>$I2="OK"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N53"/>
  <sheetViews>
    <sheetView tabSelected="1" zoomScale="125" zoomScaleNormal="55" workbookViewId="0">
      <selection activeCell="C2" sqref="C2:C51"/>
    </sheetView>
  </sheetViews>
  <sheetFormatPr baseColWidth="10" defaultColWidth="8.83203125" defaultRowHeight="14"/>
  <cols>
    <col min="1" max="1" width="62.83203125" customWidth="1"/>
    <col min="2" max="2" width="62.83203125" hidden="1" customWidth="1"/>
    <col min="3" max="3" width="58.1640625" customWidth="1"/>
    <col min="4" max="4" width="27" hidden="1" customWidth="1"/>
    <col min="5" max="5" width="86.33203125" hidden="1" customWidth="1"/>
    <col min="6" max="6" width="36.6640625" customWidth="1"/>
    <col min="7" max="7" width="32.1640625" customWidth="1"/>
    <col min="8" max="8" width="112.6640625" bestFit="1" customWidth="1"/>
    <col min="9" max="9" width="20.6640625" bestFit="1" customWidth="1"/>
    <col min="10" max="10" width="23" customWidth="1"/>
    <col min="11" max="11" width="26.5" bestFit="1" customWidth="1"/>
    <col min="15" max="15" width="11" customWidth="1"/>
  </cols>
  <sheetData>
    <row r="1" spans="1:11" ht="15" thickBot="1">
      <c r="A1" s="5" t="s">
        <v>34</v>
      </c>
      <c r="B1" s="1" t="s">
        <v>310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6" thickTop="1" thickBot="1">
      <c r="A2" s="7" t="s">
        <v>0</v>
      </c>
      <c r="B2" s="2" t="str">
        <f>SUBSTITUTE(SUBSTITUTE(SUBSTITUTE(Table2467[[#This Row],[Standard Attributes List]]," ",""),".",""),"-","")</f>
        <v>ACTIVEFLOWWETTEDMATERIALYIELDSTRENGTH(KSI)</v>
      </c>
      <c r="C2" s="3" t="s">
        <v>371</v>
      </c>
      <c r="D2" s="3" t="str">
        <f>SUBSTITUTE(SUBSTITUTE(SUBSTITUTE(LEFT(Table2467[[#This Row],[Reference]],FIND("=",Table2467[[#This Row],[Reference]])-2)," ",""),".",""),"-","")</f>
        <v>ACTIVEFLOWWETTEDMATERIALYIELDSTRENGTH(KSI)</v>
      </c>
      <c r="E2" s="22" t="str">
        <f>TRIM(RIGHT(Table2467[[#This Row],[Reference]],LEN(Table2467[[#This Row],[Reference]])-FIND("=",Table2467[[#This Row],[Reference]])-1))</f>
        <v>SUPER 13CR[95]</v>
      </c>
      <c r="F2" s="3" t="str">
        <f>VLOOKUP(Table2467[[#This Row],[Condensed Value]],D:E,2,FALSE)</f>
        <v>SUPER 13CR[95]</v>
      </c>
      <c r="G2" s="3"/>
      <c r="H2" s="4" t="str">
        <f>CONCATENATE(Table2467[[#This Row],[Standard Attributes List]]," = ",IF(Table2467[[#This Row],[Overwrite Value]]="",Table2467[[#This Row],[Ref. Value]],Table2467[[#This Row],[Overwrite Value]]))</f>
        <v>ACTIVE FLOW WETTED MATERIAL - YIELD STRENGTH (KSI) = SUPER 13CR[95]</v>
      </c>
      <c r="I2" t="str">
        <f>IF(Table2467[[#This Row],[Reference]]=Table2467[[#This Row],[Output]],"OK","NG")</f>
        <v>OK</v>
      </c>
      <c r="J2" s="2" t="str">
        <f>RIGHT(Table2467[[#This Row],[Output]],LEN(Table2467[[#This Row],[Output]])-FIND("=",Table2467[[#This Row],[Output]])-1)</f>
        <v>SUPER 13CR[95]</v>
      </c>
      <c r="K2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" spans="1:11" ht="16" thickTop="1" thickBot="1">
      <c r="A3" s="7" t="s">
        <v>1</v>
      </c>
      <c r="B3" s="2" t="str">
        <f>SUBSTITUTE(SUBSTITUTE(SUBSTITUTE(Table2467[[#This Row],[Standard Attributes List]]," ",""),".",""),"-","")</f>
        <v>APPROXIMATEWEIGHT(LBS)</v>
      </c>
      <c r="C3" s="3" t="s">
        <v>372</v>
      </c>
      <c r="D3" s="3" t="str">
        <f>SUBSTITUTE(SUBSTITUTE(SUBSTITUTE(LEFT(Table2467[[#This Row],[Reference]],FIND("=",Table2467[[#This Row],[Reference]])-2)," ",""),".",""),"-","")</f>
        <v>APPROXIMATEWEIGHT(LBS)</v>
      </c>
      <c r="E3" s="22" t="str">
        <f>TRIM(RIGHT(Table2467[[#This Row],[Reference]],LEN(Table2467[[#This Row],[Reference]])-FIND("=",Table2467[[#This Row],[Reference]])-1))</f>
        <v>500</v>
      </c>
      <c r="F3" s="3" t="str">
        <f>VLOOKUP(Table2467[[#This Row],[Condensed Value]],D:E,2,FALSE)</f>
        <v>500</v>
      </c>
      <c r="G3" s="3"/>
      <c r="H3" s="4" t="str">
        <f>CONCATENATE(Table2467[[#This Row],[Standard Attributes List]]," = ",IF(Table2467[[#This Row],[Overwrite Value]]="",Table2467[[#This Row],[Ref. Value]],Table2467[[#This Row],[Overwrite Value]]))</f>
        <v>APPROXIMATE WEIGHT (LBS) = 500</v>
      </c>
      <c r="I3" t="str">
        <f>IF(Table2467[[#This Row],[Reference]]=Table2467[[#This Row],[Output]],"OK","NG")</f>
        <v>OK</v>
      </c>
      <c r="J3" s="2" t="str">
        <f>RIGHT(Table2467[[#This Row],[Output]],LEN(Table2467[[#This Row],[Output]])-FIND("=",Table2467[[#This Row],[Output]])-1)</f>
        <v>500</v>
      </c>
      <c r="K3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4" spans="1:11" ht="16" thickTop="1" thickBot="1">
      <c r="A4" s="7" t="s">
        <v>15</v>
      </c>
      <c r="B4" s="2" t="str">
        <f>SUBSTITUTE(SUBSTITUTE(SUBSTITUTE(Table2467[[#This Row],[Standard Attributes List]]," ",""),".",""),"-","")</f>
        <v>CASINGSIZE(IN)</v>
      </c>
      <c r="C4" s="3" t="s">
        <v>66</v>
      </c>
      <c r="D4" s="3" t="str">
        <f>SUBSTITUTE(SUBSTITUTE(SUBSTITUTE(LEFT(Table2467[[#This Row],[Reference]],FIND("=",Table2467[[#This Row],[Reference]])-2)," ",""),".",""),"-","")</f>
        <v>CASINGSIZE(IN)</v>
      </c>
      <c r="E4" s="22" t="str">
        <f>TRIM(RIGHT(Table2467[[#This Row],[Reference]],LEN(Table2467[[#This Row],[Reference]])-FIND("=",Table2467[[#This Row],[Reference]])-1))</f>
        <v>7</v>
      </c>
      <c r="F4" s="3" t="str">
        <f>VLOOKUP(Table2467[[#This Row],[Condensed Value]],D:E,2,FALSE)</f>
        <v>7</v>
      </c>
      <c r="G4" s="3"/>
      <c r="H4" s="4" t="str">
        <f>CONCATENATE(Table2467[[#This Row],[Standard Attributes List]]," = ",IF(Table2467[[#This Row],[Overwrite Value]]="",Table2467[[#This Row],[Ref. Value]],Table2467[[#This Row],[Overwrite Value]]))</f>
        <v>CASING SIZE (IN) = 7</v>
      </c>
      <c r="I4" t="str">
        <f>IF(Table2467[[#This Row],[Reference]]=Table2467[[#This Row],[Output]],"OK","NG")</f>
        <v>OK</v>
      </c>
      <c r="J4" s="2" t="str">
        <f>RIGHT(Table2467[[#This Row],[Output]],LEN(Table2467[[#This Row],[Output]])-FIND("=",Table2467[[#This Row],[Output]])-1)</f>
        <v>7</v>
      </c>
      <c r="K4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5" spans="1:11" ht="16" thickTop="1" thickBot="1">
      <c r="A5" s="7" t="s">
        <v>16</v>
      </c>
      <c r="B5" s="2" t="str">
        <f>SUBSTITUTE(SUBSTITUTE(SUBSTITUTE(Table2467[[#This Row],[Standard Attributes List]]," ",""),".",""),"-","")</f>
        <v>CASINGWEIGHTRANGE(PPF)</v>
      </c>
      <c r="C5" s="3" t="s">
        <v>373</v>
      </c>
      <c r="D5" s="3" t="str">
        <f>SUBSTITUTE(SUBSTITUTE(SUBSTITUTE(LEFT(Table2467[[#This Row],[Reference]],FIND("=",Table2467[[#This Row],[Reference]])-2)," ",""),".",""),"-","")</f>
        <v>CASINGWEIGHTRANGE(PPF)</v>
      </c>
      <c r="E5" s="22" t="str">
        <f>TRIM(RIGHT(Table2467[[#This Row],[Reference]],LEN(Table2467[[#This Row],[Reference]])-FIND("=",Table2467[[#This Row],[Reference]])-1))</f>
        <v>26-29</v>
      </c>
      <c r="F5" s="3" t="str">
        <f>VLOOKUP(Table2467[[#This Row],[Condensed Value]],D:E,2,FALSE)</f>
        <v>26-29</v>
      </c>
      <c r="G5" s="3"/>
      <c r="H5" s="4" t="str">
        <f>CONCATENATE(Table2467[[#This Row],[Standard Attributes List]]," = ",IF(Table2467[[#This Row],[Overwrite Value]]="",Table2467[[#This Row],[Ref. Value]],Table2467[[#This Row],[Overwrite Value]]))</f>
        <v>CASING WEIGHT RANGE (PPF) = 26-29</v>
      </c>
      <c r="I5" t="str">
        <f>IF(Table2467[[#This Row],[Reference]]=Table2467[[#This Row],[Output]],"OK","NG")</f>
        <v>OK</v>
      </c>
      <c r="J5" s="2" t="str">
        <f>RIGHT(Table2467[[#This Row],[Output]],LEN(Table2467[[#This Row],[Output]])-FIND("=",Table2467[[#This Row],[Output]])-1)</f>
        <v>26-29</v>
      </c>
      <c r="K5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6" spans="1:11" ht="16" thickTop="1" thickBot="1">
      <c r="A6" s="7" t="s">
        <v>17</v>
      </c>
      <c r="B6" s="2" t="str">
        <f>SUBSTITUTE(SUBSTITUTE(SUBSTITUTE(Table2467[[#This Row],[Standard Attributes List]]," ",""),".",""),"-","")</f>
        <v>CERTIFICATIONSTATUS</v>
      </c>
      <c r="C6" s="3" t="s">
        <v>374</v>
      </c>
      <c r="D6" s="3" t="str">
        <f>SUBSTITUTE(SUBSTITUTE(SUBSTITUTE(LEFT(Table2467[[#This Row],[Reference]],FIND("=",Table2467[[#This Row],[Reference]])-2)," ",""),".",""),"-","")</f>
        <v>CERTIFICATIONSTATUS</v>
      </c>
      <c r="E6" s="22" t="str">
        <f>TRIM(RIGHT(Table2467[[#This Row],[Reference]],LEN(Table2467[[#This Row],[Reference]])-FIND("=",Table2467[[#This Row],[Reference]])-1))</f>
        <v>ISO-V3[100-200F]</v>
      </c>
      <c r="F6" s="3" t="str">
        <f>VLOOKUP(Table2467[[#This Row],[Condensed Value]],D:E,2,FALSE)</f>
        <v>ISO-V3[100-200F]</v>
      </c>
      <c r="G6" s="3"/>
      <c r="H6" s="4" t="str">
        <f>CONCATENATE(Table2467[[#This Row],[Standard Attributes List]]," = ",IF(Table2467[[#This Row],[Overwrite Value]]="",Table2467[[#This Row],[Ref. Value]],Table2467[[#This Row],[Overwrite Value]]))</f>
        <v>CERTIFICATION STATUS = ISO-V3[100-200F]</v>
      </c>
      <c r="I6" t="str">
        <f>IF(Table2467[[#This Row],[Reference]]=Table2467[[#This Row],[Output]],"OK","NG")</f>
        <v>OK</v>
      </c>
      <c r="J6" s="2" t="str">
        <f>RIGHT(Table2467[[#This Row],[Output]],LEN(Table2467[[#This Row],[Output]])-FIND("=",Table2467[[#This Row],[Output]])-1)</f>
        <v>ISO-V3[100-200F]</v>
      </c>
      <c r="K6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7" spans="1:11" ht="16" thickTop="1" thickBot="1">
      <c r="A7" s="7" t="s">
        <v>36</v>
      </c>
      <c r="B7" s="2" t="str">
        <f>SUBSTITUTE(SUBSTITUTE(SUBSTITUTE(Table2467[[#This Row],[Standard Attributes List]]," ",""),".",""),"-","")</f>
        <v>CONVEYANCEMETHOD</v>
      </c>
      <c r="C7" s="3" t="s">
        <v>69</v>
      </c>
      <c r="D7" s="3" t="str">
        <f>SUBSTITUTE(SUBSTITUTE(SUBSTITUTE(LEFT(Table2467[[#This Row],[Reference]],FIND("=",Table2467[[#This Row],[Reference]])-2)," ",""),".",""),"-","")</f>
        <v>CONVEYANCEMETHOD</v>
      </c>
      <c r="E7" s="22" t="str">
        <f>TRIM(RIGHT(Table2467[[#This Row],[Reference]],LEN(Table2467[[#This Row],[Reference]])-FIND("=",Table2467[[#This Row],[Reference]])-1))</f>
        <v>TUBING</v>
      </c>
      <c r="F7" s="3" t="str">
        <f>VLOOKUP(Table2467[[#This Row],[Condensed Value]],D:E,2,FALSE)</f>
        <v>TUBING</v>
      </c>
      <c r="G7" s="3"/>
      <c r="H7" s="4" t="str">
        <f>CONCATENATE(Table2467[[#This Row],[Standard Attributes List]]," = ",IF(Table2467[[#This Row],[Overwrite Value]]="",Table2467[[#This Row],[Ref. Value]],Table2467[[#This Row],[Overwrite Value]]))</f>
        <v>CONVEYANCE METHOD = TUBING</v>
      </c>
      <c r="I7" t="str">
        <f>IF(Table2467[[#This Row],[Reference]]=Table2467[[#This Row],[Output]],"OK","NG")</f>
        <v>OK</v>
      </c>
      <c r="J7" s="2" t="str">
        <f>RIGHT(Table2467[[#This Row],[Output]],LEN(Table2467[[#This Row],[Output]])-FIND("=",Table2467[[#This Row],[Output]])-1)</f>
        <v>TUBING</v>
      </c>
      <c r="K7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8" spans="1:11" ht="16" thickTop="1" thickBot="1">
      <c r="A8" s="7" t="s">
        <v>18</v>
      </c>
      <c r="B8" s="2" t="str">
        <f>SUBSTITUTE(SUBSTITUTE(SUBSTITUTE(Table2467[[#This Row],[Standard Attributes List]]," ",""),".",""),"-","")</f>
        <v>DIFFERENTIALPRESSURERATING(PSI)</v>
      </c>
      <c r="C8" s="3" t="s">
        <v>287</v>
      </c>
      <c r="D8" s="3" t="str">
        <f>SUBSTITUTE(SUBSTITUTE(SUBSTITUTE(LEFT(Table2467[[#This Row],[Reference]],FIND("=",Table2467[[#This Row],[Reference]])-2)," ",""),".",""),"-","")</f>
        <v>DIFFERENTIALPRESSURERATING(PSI)</v>
      </c>
      <c r="E8" s="22" t="str">
        <f>TRIM(RIGHT(Table2467[[#This Row],[Reference]],LEN(Table2467[[#This Row],[Reference]])-FIND("=",Table2467[[#This Row],[Reference]])-1))</f>
        <v>5000</v>
      </c>
      <c r="F8" s="3" t="str">
        <f>VLOOKUP(Table2467[[#This Row],[Condensed Value]],D:E,2,FALSE)</f>
        <v>5000</v>
      </c>
      <c r="G8" s="3"/>
      <c r="H8" s="4" t="str">
        <f>CONCATENATE(Table2467[[#This Row],[Standard Attributes List]]," = ",IF(Table2467[[#This Row],[Overwrite Value]]="",Table2467[[#This Row],[Ref. Value]],Table2467[[#This Row],[Overwrite Value]]))</f>
        <v>DIFFERENTIAL PRESSURE RATING (PSI) = 5000</v>
      </c>
      <c r="I8" t="str">
        <f>IF(Table2467[[#This Row],[Reference]]=Table2467[[#This Row],[Output]],"OK","NG")</f>
        <v>OK</v>
      </c>
      <c r="J8" s="2" t="str">
        <f>RIGHT(Table2467[[#This Row],[Output]],LEN(Table2467[[#This Row],[Output]])-FIND("=",Table2467[[#This Row],[Output]])-1)</f>
        <v>5000</v>
      </c>
      <c r="K8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9" spans="1:11" ht="16" thickTop="1" thickBot="1">
      <c r="A9" s="7" t="s">
        <v>19</v>
      </c>
      <c r="B9" s="2" t="str">
        <f>SUBSTITUTE(SUBSTITUTE(SUBSTITUTE(Table2467[[#This Row],[Standard Attributes List]]," ",""),".",""),"-","")</f>
        <v>DIFFERENTIALRATINGISOLATED(PSI)</v>
      </c>
      <c r="C9" s="3" t="s">
        <v>190</v>
      </c>
      <c r="D9" s="3" t="str">
        <f>SUBSTITUTE(SUBSTITUTE(SUBSTITUTE(LEFT(Table2467[[#This Row],[Reference]],FIND("=",Table2467[[#This Row],[Reference]])-2)," ",""),".",""),"-","")</f>
        <v>DIFFERENTIALRATINGISOLATED(PSI)</v>
      </c>
      <c r="E9" s="22" t="str">
        <f>TRIM(RIGHT(Table2467[[#This Row],[Reference]],LEN(Table2467[[#This Row],[Reference]])-FIND("=",Table2467[[#This Row],[Reference]])-1))</f>
        <v>NA</v>
      </c>
      <c r="F9" s="3" t="str">
        <f>VLOOKUP(Table2467[[#This Row],[Condensed Value]],D:E,2,FALSE)</f>
        <v>NA</v>
      </c>
      <c r="G9" s="3"/>
      <c r="H9" s="4" t="str">
        <f>CONCATENATE(Table2467[[#This Row],[Standard Attributes List]]," = ",IF(Table2467[[#This Row],[Overwrite Value]]="",Table2467[[#This Row],[Ref. Value]],Table2467[[#This Row],[Overwrite Value]]))</f>
        <v>DIFFERENTIAL RATING ISOLATED (PSI) = NA</v>
      </c>
      <c r="I9" t="str">
        <f>IF(Table2467[[#This Row],[Reference]]=Table2467[[#This Row],[Output]],"OK","NG")</f>
        <v>OK</v>
      </c>
      <c r="J9" s="2" t="str">
        <f>RIGHT(Table2467[[#This Row],[Output]],LEN(Table2467[[#This Row],[Output]])-FIND("=",Table2467[[#This Row],[Output]])-1)</f>
        <v>NA</v>
      </c>
      <c r="K9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0" spans="1:11" ht="16" thickTop="1" thickBot="1">
      <c r="A10" s="7" t="s">
        <v>20</v>
      </c>
      <c r="B10" s="2" t="str">
        <f>SUBSTITUTE(SUBSTITUTE(SUBSTITUTE(Table2467[[#This Row],[Standard Attributes List]]," ",""),".",""),"-","")</f>
        <v>DIFFERENTIALRATINGPLUGGED(PSI)</v>
      </c>
      <c r="C10" s="3" t="s">
        <v>191</v>
      </c>
      <c r="D10" s="3" t="str">
        <f>SUBSTITUTE(SUBSTITUTE(SUBSTITUTE(LEFT(Table2467[[#This Row],[Reference]],FIND("=",Table2467[[#This Row],[Reference]])-2)," ",""),".",""),"-","")</f>
        <v>DIFFERENTIALRATINGPLUGGED(PSI)</v>
      </c>
      <c r="E10" s="22" t="str">
        <f>TRIM(RIGHT(Table2467[[#This Row],[Reference]],LEN(Table2467[[#This Row],[Reference]])-FIND("=",Table2467[[#This Row],[Reference]])-1))</f>
        <v>NA</v>
      </c>
      <c r="F10" s="3" t="str">
        <f>VLOOKUP(Table2467[[#This Row],[Condensed Value]],D:E,2,FALSE)</f>
        <v>NA</v>
      </c>
      <c r="G10" s="3"/>
      <c r="H10" s="4" t="str">
        <f>CONCATENATE(Table2467[[#This Row],[Standard Attributes List]]," = ",IF(Table2467[[#This Row],[Overwrite Value]]="",Table2467[[#This Row],[Ref. Value]],Table2467[[#This Row],[Overwrite Value]]))</f>
        <v>DIFFERENTIAL RATING PLUGGED (PSI) = NA</v>
      </c>
      <c r="I10" t="str">
        <f>IF(Table2467[[#This Row],[Reference]]=Table2467[[#This Row],[Output]],"OK","NG")</f>
        <v>OK</v>
      </c>
      <c r="J10" s="2" t="str">
        <f>RIGHT(Table2467[[#This Row],[Output]],LEN(Table2467[[#This Row],[Output]])-FIND("=",Table2467[[#This Row],[Output]])-1)</f>
        <v>NA</v>
      </c>
      <c r="K10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1" spans="1:11" ht="16" thickTop="1" thickBot="1">
      <c r="A11" s="7" t="s">
        <v>37</v>
      </c>
      <c r="B11" s="2" t="str">
        <f>SUBSTITUTE(SUBSTITUTE(SUBSTITUTE(Table2467[[#This Row],[Standard Attributes List]]," ",""),".",""),"-","")</f>
        <v>DIFFERENTIALRATINGUNPLUGGED(PSI)</v>
      </c>
      <c r="C11" s="3" t="s">
        <v>192</v>
      </c>
      <c r="D11" s="3" t="str">
        <f>SUBSTITUTE(SUBSTITUTE(SUBSTITUTE(LEFT(Table2467[[#This Row],[Reference]],FIND("=",Table2467[[#This Row],[Reference]])-2)," ",""),".",""),"-","")</f>
        <v>DIFFERENTIALRATINGUNPLUGGED(PSI)</v>
      </c>
      <c r="E11" s="22" t="str">
        <f>TRIM(RIGHT(Table2467[[#This Row],[Reference]],LEN(Table2467[[#This Row],[Reference]])-FIND("=",Table2467[[#This Row],[Reference]])-1))</f>
        <v>NA</v>
      </c>
      <c r="F11" s="3" t="str">
        <f>VLOOKUP(Table2467[[#This Row],[Condensed Value]],D:E,2,FALSE)</f>
        <v>NA</v>
      </c>
      <c r="G11" s="6"/>
      <c r="H11" s="4" t="str">
        <f>CONCATENATE(Table2467[[#This Row],[Standard Attributes List]]," = ",IF(Table2467[[#This Row],[Overwrite Value]]="",Table2467[[#This Row],[Ref. Value]],Table2467[[#This Row],[Overwrite Value]]))</f>
        <v>DIFFERENTIAL RATING UNPLUGGED (PSI) = NA</v>
      </c>
      <c r="I11" t="str">
        <f>IF(Table2467[[#This Row],[Reference]]=Table2467[[#This Row],[Output]],"OK","NG")</f>
        <v>OK</v>
      </c>
      <c r="J11" s="2" t="str">
        <f>RIGHT(Table2467[[#This Row],[Output]],LEN(Table2467[[#This Row],[Output]])-FIND("=",Table2467[[#This Row],[Output]])-1)</f>
        <v>NA</v>
      </c>
      <c r="K11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2" spans="1:11" ht="16" thickTop="1" thickBot="1">
      <c r="A12" s="7" t="s">
        <v>2</v>
      </c>
      <c r="B12" s="2" t="str">
        <f>SUBSTITUTE(SUBSTITUTE(SUBSTITUTE(Table2467[[#This Row],[Standard Attributes List]]," ",""),".",""),"-","")</f>
        <v>EXTERNALWORKINGPRESSURE(PSI)EOECATSPECIFIEDTEMP(F)</v>
      </c>
      <c r="C12" s="3" t="s">
        <v>375</v>
      </c>
      <c r="D12" s="3" t="str">
        <f>SUBSTITUTE(SUBSTITUTE(SUBSTITUTE(LEFT(Table2467[[#This Row],[Reference]],FIND("=",Table2467[[#This Row],[Reference]])-2)," ",""),".",""),"-","")</f>
        <v>EXTERNALWORKINGPRESSURE(PSI)EOECATSPECIFIEDTEMP(F)</v>
      </c>
      <c r="E12" s="22" t="str">
        <f>TRIM(RIGHT(Table2467[[#This Row],[Reference]],LEN(Table2467[[#This Row],[Reference]])-FIND("=",Table2467[[#This Row],[Reference]])-1))</f>
        <v>5000[200]</v>
      </c>
      <c r="F12" s="3" t="str">
        <f>VLOOKUP(Table2467[[#This Row],[Condensed Value]],D:E,2,FALSE)</f>
        <v>5000[200]</v>
      </c>
      <c r="G12" s="3"/>
      <c r="H12" s="4" t="str">
        <f>CONCATENATE(Table2467[[#This Row],[Standard Attributes List]]," = ",IF(Table2467[[#This Row],[Overwrite Value]]="",Table2467[[#This Row],[Ref. Value]],Table2467[[#This Row],[Overwrite Value]]))</f>
        <v>EXTERNAL WORKING PRESSURE (PSI) - EOEC AT SPECIFIED TEMP (F) = 5000[200]</v>
      </c>
      <c r="I12" t="str">
        <f>IF(Table2467[[#This Row],[Reference]]=Table2467[[#This Row],[Output]],"OK","NG")</f>
        <v>OK</v>
      </c>
      <c r="J12" s="2" t="str">
        <f>RIGHT(Table2467[[#This Row],[Output]],LEN(Table2467[[#This Row],[Output]])-FIND("=",Table2467[[#This Row],[Output]])-1)</f>
        <v>5000[200]</v>
      </c>
      <c r="K12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3" spans="1:11" ht="16" thickTop="1" thickBot="1">
      <c r="A13" s="7" t="s">
        <v>50</v>
      </c>
      <c r="B13" s="2" t="str">
        <f>SUBSTITUTE(SUBSTITUTE(SUBSTITUTE(Table2467[[#This Row],[Standard Attributes List]]," ",""),".",""),"-","")</f>
        <v>IDDRIFT(IN)</v>
      </c>
      <c r="C13" s="3" t="s">
        <v>376</v>
      </c>
      <c r="D13" s="3" t="str">
        <f>SUBSTITUTE(SUBSTITUTE(SUBSTITUTE(LEFT(Table2467[[#This Row],[Reference]],FIND("=",Table2467[[#This Row],[Reference]])-2)," ",""),".",""),"-","")</f>
        <v>ID(IN)</v>
      </c>
      <c r="E13" s="22" t="str">
        <f>TRIM(RIGHT(Table2467[[#This Row],[Reference]],LEN(Table2467[[#This Row],[Reference]])-FIND("=",Table2467[[#This Row],[Reference]])-1))</f>
        <v>3.940</v>
      </c>
      <c r="F13" s="3" t="str">
        <f>VLOOKUP(Table2467[[#This Row],[Condensed Value]],D:E,2,FALSE)</f>
        <v>3.833</v>
      </c>
      <c r="G13" s="3"/>
      <c r="H13" s="4" t="str">
        <f>CONCATENATE(Table2467[[#This Row],[Standard Attributes List]]," = ",IF(Table2467[[#This Row],[Overwrite Value]]="",Table2467[[#This Row],[Ref. Value]],Table2467[[#This Row],[Overwrite Value]]))</f>
        <v>I.D. - DRIFT (IN) = 3.833</v>
      </c>
      <c r="I13" t="str">
        <f>IF(Table2467[[#This Row],[Reference]]=Table2467[[#This Row],[Output]],"OK","NG")</f>
        <v>NG</v>
      </c>
      <c r="J13" s="2" t="str">
        <f>RIGHT(Table2467[[#This Row],[Output]],LEN(Table2467[[#This Row],[Output]])-FIND("=",Table2467[[#This Row],[Output]])-1)</f>
        <v>3.833</v>
      </c>
      <c r="K13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4" spans="1:11" ht="16" thickTop="1" thickBot="1">
      <c r="A14" s="7" t="s">
        <v>51</v>
      </c>
      <c r="B14" s="2" t="str">
        <f>SUBSTITUTE(SUBSTITUTE(SUBSTITUTE(Table2467[[#This Row],[Standard Attributes List]]," ",""),".",""),"-","")</f>
        <v>IDMIN(IN)</v>
      </c>
      <c r="C14" s="3" t="s">
        <v>349</v>
      </c>
      <c r="D14" s="3" t="str">
        <f>SUBSTITUTE(SUBSTITUTE(SUBSTITUTE(LEFT(Table2467[[#This Row],[Reference]],FIND("=",Table2467[[#This Row],[Reference]])-2)," ",""),".",""),"-","")</f>
        <v>IDDRIFT(IN)</v>
      </c>
      <c r="E14" s="22" t="str">
        <f>TRIM(RIGHT(Table2467[[#This Row],[Reference]],LEN(Table2467[[#This Row],[Reference]])-FIND("=",Table2467[[#This Row],[Reference]])-1))</f>
        <v>3.833</v>
      </c>
      <c r="F14" s="3" t="str">
        <f>VLOOKUP(Table2467[[#This Row],[Condensed Value]],D:E,2,FALSE)</f>
        <v>3.910</v>
      </c>
      <c r="G14" s="3"/>
      <c r="H14" s="4" t="str">
        <f>CONCATENATE(Table2467[[#This Row],[Standard Attributes List]]," = ",IF(Table2467[[#This Row],[Overwrite Value]]="",Table2467[[#This Row],[Ref. Value]],Table2467[[#This Row],[Overwrite Value]]))</f>
        <v>I.D. - MIN. (IN) = 3.910</v>
      </c>
      <c r="I14" t="str">
        <f>IF(Table2467[[#This Row],[Reference]]=Table2467[[#This Row],[Output]],"OK","NG")</f>
        <v>NG</v>
      </c>
      <c r="J14" s="2" t="str">
        <f>RIGHT(Table2467[[#This Row],[Output]],LEN(Table2467[[#This Row],[Output]])-FIND("=",Table2467[[#This Row],[Output]])-1)</f>
        <v>3.910</v>
      </c>
      <c r="K14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5" spans="1:11" ht="16" thickTop="1" thickBot="1">
      <c r="A15" s="7" t="s">
        <v>52</v>
      </c>
      <c r="B15" s="2" t="str">
        <f>SUBSTITUTE(SUBSTITUTE(SUBSTITUTE(Table2467[[#This Row],[Standard Attributes List]]," ",""),".",""),"-","")</f>
        <v>ID(IN)</v>
      </c>
      <c r="C15" s="3" t="s">
        <v>377</v>
      </c>
      <c r="D15" s="3" t="str">
        <f>SUBSTITUTE(SUBSTITUTE(SUBSTITUTE(LEFT(Table2467[[#This Row],[Reference]],FIND("=",Table2467[[#This Row],[Reference]])-2)," ",""),".",""),"-","")</f>
        <v>IDMIN(IN)</v>
      </c>
      <c r="E15" s="22" t="str">
        <f>TRIM(RIGHT(Table2467[[#This Row],[Reference]],LEN(Table2467[[#This Row],[Reference]])-FIND("=",Table2467[[#This Row],[Reference]])-1))</f>
        <v>3.910</v>
      </c>
      <c r="F15" s="3" t="str">
        <f>VLOOKUP(Table2467[[#This Row],[Condensed Value]],D:E,2,FALSE)</f>
        <v>3.940</v>
      </c>
      <c r="G15" s="8"/>
      <c r="H15" s="4" t="str">
        <f>CONCATENATE(Table2467[[#This Row],[Standard Attributes List]]," = ",IF(Table2467[[#This Row],[Overwrite Value]]="",Table2467[[#This Row],[Ref. Value]],Table2467[[#This Row],[Overwrite Value]]))</f>
        <v>I.D. (IN) = 3.940</v>
      </c>
      <c r="I15" t="str">
        <f>IF(Table2467[[#This Row],[Reference]]=Table2467[[#This Row],[Output]],"OK","NG")</f>
        <v>NG</v>
      </c>
      <c r="J15" s="2" t="str">
        <f>RIGHT(Table2467[[#This Row],[Output]],LEN(Table2467[[#This Row],[Output]])-FIND("=",Table2467[[#This Row],[Output]])-1)</f>
        <v>3.940</v>
      </c>
      <c r="K15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6" spans="1:11" ht="16" thickTop="1" thickBot="1">
      <c r="A16" s="7" t="s">
        <v>3</v>
      </c>
      <c r="B16" s="2" t="str">
        <f>SUBSTITUTE(SUBSTITUTE(SUBSTITUTE(Table2467[[#This Row],[Standard Attributes List]]," ",""),".",""),"-","")</f>
        <v>INTERNALWORKINGPRESSURE(PSI)EOECATSPECIFIEDTEMP(F)</v>
      </c>
      <c r="C16" s="3" t="s">
        <v>378</v>
      </c>
      <c r="D16" s="3" t="str">
        <f>SUBSTITUTE(SUBSTITUTE(SUBSTITUTE(LEFT(Table2467[[#This Row],[Reference]],FIND("=",Table2467[[#This Row],[Reference]])-2)," ",""),".",""),"-","")</f>
        <v>INTERNALWORKINGPRESSURE(PSI)EOECATSPECIFIEDTEMP(F)</v>
      </c>
      <c r="E16" s="22" t="str">
        <f>TRIM(RIGHT(Table2467[[#This Row],[Reference]],LEN(Table2467[[#This Row],[Reference]])-FIND("=",Table2467[[#This Row],[Reference]])-1))</f>
        <v>5000[200]</v>
      </c>
      <c r="F16" s="3" t="str">
        <f>VLOOKUP(Table2467[[#This Row],[Condensed Value]],D:E,2,FALSE)</f>
        <v>5000[200]</v>
      </c>
      <c r="G16" s="3"/>
      <c r="H16" s="4" t="str">
        <f>CONCATENATE(Table2467[[#This Row],[Standard Attributes List]]," = ",IF(Table2467[[#This Row],[Overwrite Value]]="",Table2467[[#This Row],[Ref. Value]],Table2467[[#This Row],[Overwrite Value]]))</f>
        <v>INTERNAL WORKING PRESSURE (PSI) - EOEC AT SPECIFIED TEMP (F) = 5000[200]</v>
      </c>
      <c r="I16" t="str">
        <f>IF(Table2467[[#This Row],[Reference]]=Table2467[[#This Row],[Output]],"OK","NG")</f>
        <v>OK</v>
      </c>
      <c r="J16" s="2" t="str">
        <f>RIGHT(Table2467[[#This Row],[Output]],LEN(Table2467[[#This Row],[Output]])-FIND("=",Table2467[[#This Row],[Output]])-1)</f>
        <v>5000[200]</v>
      </c>
      <c r="K16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7" spans="1:11" ht="16" thickTop="1" thickBot="1">
      <c r="A17" s="7" t="s">
        <v>59</v>
      </c>
      <c r="B17" s="2" t="str">
        <f>SUBSTITUTE(SUBSTITUTE(SUBSTITUTE(Table2467[[#This Row],[Standard Attributes List]]," ",""),".",""),"-","")</f>
        <v>ISOQUALIFIEDCASINGID</v>
      </c>
      <c r="C17" s="3" t="s">
        <v>379</v>
      </c>
      <c r="D17" s="3" t="str">
        <f>SUBSTITUTE(SUBSTITUTE(SUBSTITUTE(LEFT(Table2467[[#This Row],[Reference]],FIND("=",Table2467[[#This Row],[Reference]])-2)," ",""),".",""),"-","")</f>
        <v>ISOQUALIFIEDCASINGID(IN)</v>
      </c>
      <c r="E17" s="22" t="str">
        <f>TRIM(RIGHT(Table2467[[#This Row],[Reference]],LEN(Table2467[[#This Row],[Reference]])-FIND("=",Table2467[[#This Row],[Reference]])-1))</f>
        <v>MAX API ID</v>
      </c>
      <c r="F17" s="3" t="e">
        <f>VLOOKUP(Table2467[[#This Row],[Condensed Value]],D:E,2,FALSE)</f>
        <v>#N/A</v>
      </c>
      <c r="G17" s="3"/>
      <c r="H17" s="4" t="e">
        <f>CONCATENATE(Table2467[[#This Row],[Standard Attributes List]]," = ",IF(Table2467[[#This Row],[Overwrite Value]]="",Table2467[[#This Row],[Ref. Value]],Table2467[[#This Row],[Overwrite Value]]))</f>
        <v>#N/A</v>
      </c>
      <c r="I17" t="e">
        <f>IF(Table2467[[#This Row],[Reference]]=Table2467[[#This Row],[Output]],"OK","NG")</f>
        <v>#N/A</v>
      </c>
      <c r="J17" s="2" t="e">
        <f>RIGHT(Table2467[[#This Row],[Output]],LEN(Table2467[[#This Row],[Output]])-FIND("=",Table2467[[#This Row],[Output]])-1)</f>
        <v>#N/A</v>
      </c>
      <c r="K17" s="2" t="e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#N/A</v>
      </c>
    </row>
    <row r="18" spans="1:11" ht="16" thickTop="1" thickBot="1">
      <c r="A18" s="7" t="s">
        <v>4</v>
      </c>
      <c r="B18" s="2" t="str">
        <f>SUBSTITUTE(SUBSTITUTE(SUBSTITUTE(Table2467[[#This Row],[Standard Attributes List]]," ",""),".",""),"-","")</f>
        <v>LOWERTHREADCONNECTINGSIZE(IN),WT(PPF),TYPE,CONFIG</v>
      </c>
      <c r="C18" s="3" t="s">
        <v>380</v>
      </c>
      <c r="D18" s="3" t="str">
        <f>SUBSTITUTE(SUBSTITUTE(SUBSTITUTE(LEFT(Table2467[[#This Row],[Reference]],FIND("=",Table2467[[#This Row],[Reference]])-2)," ",""),".",""),"-","")</f>
        <v>LOWERTHREADCONNECTINGSIZE(IN),WT(PPF),TYPE,CONFIG</v>
      </c>
      <c r="E18" s="22" t="str">
        <f>TRIM(RIGHT(Table2467[[#This Row],[Reference]],LEN(Table2467[[#This Row],[Reference]])-FIND("=",Table2467[[#This Row],[Reference]])-1))</f>
        <v>4.500, 12.75, TENARIS HYDRIL 3SB, PIN</v>
      </c>
      <c r="F18" s="3" t="str">
        <f>VLOOKUP(Table2467[[#This Row],[Condensed Value]],D:E,2,FALSE)</f>
        <v>4.500, 12.75, TENARIS HYDRIL 3SB, PIN</v>
      </c>
      <c r="G18" s="3"/>
      <c r="H18" s="4" t="str">
        <f>CONCATENATE(Table2467[[#This Row],[Standard Attributes List]]," = ",IF(Table2467[[#This Row],[Overwrite Value]]="",Table2467[[#This Row],[Ref. Value]],Table2467[[#This Row],[Overwrite Value]]))</f>
        <v>LOWER THREAD CONNECTING - SIZE (IN), WT (PPF), TYPE, CONFIG = 4.500, 12.75, TENARIS HYDRIL 3SB, PIN</v>
      </c>
      <c r="I18" t="str">
        <f>IF(Table2467[[#This Row],[Reference]]=Table2467[[#This Row],[Output]],"OK","NG")</f>
        <v>OK</v>
      </c>
      <c r="J18" s="2" t="str">
        <f>RIGHT(Table2467[[#This Row],[Output]],LEN(Table2467[[#This Row],[Output]])-FIND("=",Table2467[[#This Row],[Output]])-1)</f>
        <v>4.500, 12.75, TENARIS HYDRIL 3SB, PIN</v>
      </c>
      <c r="K18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9" spans="1:11" ht="16" thickTop="1" thickBot="1">
      <c r="A19" s="7" t="s">
        <v>53</v>
      </c>
      <c r="B19" s="2" t="str">
        <f>SUBSTITUTE(SUBSTITUTE(SUBSTITUTE(Table2467[[#This Row],[Standard Attributes List]]," ",""),".",""),"-","")</f>
        <v>MAKEUPLENGTH(IN)</v>
      </c>
      <c r="C19" s="3" t="s">
        <v>78</v>
      </c>
      <c r="D19" s="3" t="str">
        <f>SUBSTITUTE(SUBSTITUTE(SUBSTITUTE(LEFT(Table2467[[#This Row],[Reference]],FIND("=",Table2467[[#This Row],[Reference]])-2)," ",""),".",""),"-","")</f>
        <v>MAKEUPLENGTH(IN)</v>
      </c>
      <c r="E19" s="22" t="str">
        <f>TRIM(RIGHT(Table2467[[#This Row],[Reference]],LEN(Table2467[[#This Row],[Reference]])-FIND("=",Table2467[[#This Row],[Reference]])-1))</f>
        <v>90</v>
      </c>
      <c r="F19" s="3" t="str">
        <f>VLOOKUP(Table2467[[#This Row],[Condensed Value]],D:E,2,FALSE)</f>
        <v>90</v>
      </c>
      <c r="G19" s="3"/>
      <c r="H19" s="4" t="str">
        <f>CONCATENATE(Table2467[[#This Row],[Standard Attributes List]]," = ",IF(Table2467[[#This Row],[Overwrite Value]]="",Table2467[[#This Row],[Ref. Value]],Table2467[[#This Row],[Overwrite Value]]))</f>
        <v>MAKE-UP LENGTH (IN) = 90</v>
      </c>
      <c r="I19" t="str">
        <f>IF(Table2467[[#This Row],[Reference]]=Table2467[[#This Row],[Output]],"OK","NG")</f>
        <v>OK</v>
      </c>
      <c r="J19" s="2" t="str">
        <f>RIGHT(Table2467[[#This Row],[Output]],LEN(Table2467[[#This Row],[Output]])-FIND("=",Table2467[[#This Row],[Output]])-1)</f>
        <v>90</v>
      </c>
      <c r="K19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0" spans="1:11" ht="16" thickTop="1" thickBot="1">
      <c r="A20" s="7" t="s">
        <v>5</v>
      </c>
      <c r="B20" s="2" t="str">
        <f>SUBSTITUTE(SUBSTITUTE(SUBSTITUTE(Table2467[[#This Row],[Standard Attributes List]]," ",""),".",""),"-","")</f>
        <v>MATERIAL/ELASTOMERS</v>
      </c>
      <c r="C20" s="3" t="s">
        <v>381</v>
      </c>
      <c r="D20" s="3" t="str">
        <f>SUBSTITUTE(SUBSTITUTE(SUBSTITUTE(LEFT(Table2467[[#This Row],[Reference]],FIND("=",Table2467[[#This Row],[Reference]])-2)," ",""),".",""),"-","")</f>
        <v>MATERIAL/ELASTOMERS</v>
      </c>
      <c r="E20" s="22" t="str">
        <f>TRIM(RIGHT(Table2467[[#This Row],[Reference]],LEN(Table2467[[#This Row],[Reference]])-FIND("=",Table2467[[#This Row],[Reference]])-1))</f>
        <v>VITON, HNBR</v>
      </c>
      <c r="F20" s="3" t="str">
        <f>VLOOKUP(Table2467[[#This Row],[Condensed Value]],D:E,2,FALSE)</f>
        <v>VITON, HNBR</v>
      </c>
      <c r="G20" s="3"/>
      <c r="H20" s="4" t="str">
        <f>CONCATENATE(Table2467[[#This Row],[Standard Attributes List]]," = ",IF(Table2467[[#This Row],[Overwrite Value]]="",Table2467[[#This Row],[Ref. Value]],Table2467[[#This Row],[Overwrite Value]]))</f>
        <v>MATERIAL/ELASTOMERS = VITON, HNBR</v>
      </c>
      <c r="I20" t="str">
        <f>IF(Table2467[[#This Row],[Reference]]=Table2467[[#This Row],[Output]],"OK","NG")</f>
        <v>OK</v>
      </c>
      <c r="J20" s="2" t="str">
        <f>RIGHT(Table2467[[#This Row],[Output]],LEN(Table2467[[#This Row],[Output]])-FIND("=",Table2467[[#This Row],[Output]])-1)</f>
        <v>VITON, HNBR</v>
      </c>
      <c r="K20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1" spans="1:11" ht="16" thickTop="1" thickBot="1">
      <c r="A21" s="7" t="s">
        <v>21</v>
      </c>
      <c r="B21" s="2" t="str">
        <f>SUBSTITUTE(SUBSTITUTE(SUBSTITUTE(Table2467[[#This Row],[Standard Attributes List]]," ",""),".",""),"-","")</f>
        <v>MATERIAL/ELEMENTS</v>
      </c>
      <c r="C21" s="3" t="s">
        <v>62</v>
      </c>
      <c r="D21" s="3" t="str">
        <f>SUBSTITUTE(SUBSTITUTE(SUBSTITUTE(LEFT(Table2467[[#This Row],[Reference]],FIND("=",Table2467[[#This Row],[Reference]])-2)," ",""),".",""),"-","")</f>
        <v>MATERIAL/ELEMENTS</v>
      </c>
      <c r="E21" s="22" t="str">
        <f>TRIM(RIGHT(Table2467[[#This Row],[Reference]],LEN(Table2467[[#This Row],[Reference]])-FIND("=",Table2467[[#This Row],[Reference]])-1))</f>
        <v>HNBR</v>
      </c>
      <c r="F21" s="3" t="str">
        <f>VLOOKUP(Table2467[[#This Row],[Condensed Value]],D:E,2,FALSE)</f>
        <v>HNBR</v>
      </c>
      <c r="G21" s="6"/>
      <c r="H21" s="4" t="str">
        <f>CONCATENATE(Table2467[[#This Row],[Standard Attributes List]]," = ",IF(Table2467[[#This Row],[Overwrite Value]]="",Table2467[[#This Row],[Ref. Value]],Table2467[[#This Row],[Overwrite Value]]))</f>
        <v>MATERIAL/ELEMENTS = HNBR</v>
      </c>
      <c r="I21" t="str">
        <f>IF(Table2467[[#This Row],[Reference]]=Table2467[[#This Row],[Output]],"OK","NG")</f>
        <v>OK</v>
      </c>
      <c r="J21" s="2" t="str">
        <f>RIGHT(Table2467[[#This Row],[Output]],LEN(Table2467[[#This Row],[Output]])-FIND("=",Table2467[[#This Row],[Output]])-1)</f>
        <v>HNBR</v>
      </c>
      <c r="K21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2" spans="1:11" ht="16" thickTop="1" thickBot="1">
      <c r="A22" s="7" t="s">
        <v>22</v>
      </c>
      <c r="B22" s="2" t="str">
        <f>SUBSTITUTE(SUBSTITUTE(SUBSTITUTE(Table2467[[#This Row],[Standard Attributes List]]," ",""),".",""),"-","")</f>
        <v>MATERIAL/NONFLOWWETTED</v>
      </c>
      <c r="C22" s="3" t="s">
        <v>382</v>
      </c>
      <c r="D22" s="3" t="str">
        <f>SUBSTITUTE(SUBSTITUTE(SUBSTITUTE(LEFT(Table2467[[#This Row],[Reference]],FIND("=",Table2467[[#This Row],[Reference]])-2)," ",""),".",""),"-","")</f>
        <v>MATERIAL/NONFLOWWETTED</v>
      </c>
      <c r="E22" s="22" t="str">
        <f>TRIM(RIGHT(Table2467[[#This Row],[Reference]],LEN(Table2467[[#This Row],[Reference]])-FIND("=",Table2467[[#This Row],[Reference]])-1))</f>
        <v>4130/4140, 8620, 925</v>
      </c>
      <c r="F22" s="3" t="str">
        <f>VLOOKUP(Table2467[[#This Row],[Condensed Value]],D:E,2,FALSE)</f>
        <v>4130/4140, 8620, 925</v>
      </c>
      <c r="G22" s="3"/>
      <c r="H22" s="4" t="str">
        <f>CONCATENATE(Table2467[[#This Row],[Standard Attributes List]]," = ",IF(Table2467[[#This Row],[Overwrite Value]]="",Table2467[[#This Row],[Ref. Value]],Table2467[[#This Row],[Overwrite Value]]))</f>
        <v>MATERIAL/NON FLOW WETTED = 4130/4140, 8620, 925</v>
      </c>
      <c r="I22" t="str">
        <f>IF(Table2467[[#This Row],[Reference]]=Table2467[[#This Row],[Output]],"OK","NG")</f>
        <v>OK</v>
      </c>
      <c r="J22" s="2" t="str">
        <f>RIGHT(Table2467[[#This Row],[Output]],LEN(Table2467[[#This Row],[Output]])-FIND("=",Table2467[[#This Row],[Output]])-1)</f>
        <v>4130/4140, 8620, 925</v>
      </c>
      <c r="K22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3" spans="1:11" ht="16" thickTop="1" thickBot="1">
      <c r="A23" s="7" t="s">
        <v>23</v>
      </c>
      <c r="B23" s="2" t="str">
        <f>SUBSTITUTE(SUBSTITUTE(SUBSTITUTE(Table2467[[#This Row],[Standard Attributes List]]," ",""),".",""),"-","")</f>
        <v>MATERIAL/ORING(S)</v>
      </c>
      <c r="C23" s="3" t="s">
        <v>203</v>
      </c>
      <c r="D23" s="3" t="str">
        <f>SUBSTITUTE(SUBSTITUTE(SUBSTITUTE(LEFT(Table2467[[#This Row],[Reference]],FIND("=",Table2467[[#This Row],[Reference]])-2)," ",""),".",""),"-","")</f>
        <v>MATERIAL/ORING(S)</v>
      </c>
      <c r="E23" s="22" t="str">
        <f>TRIM(RIGHT(Table2467[[#This Row],[Reference]],LEN(Table2467[[#This Row],[Reference]])-FIND("=",Table2467[[#This Row],[Reference]])-1))</f>
        <v>VITON</v>
      </c>
      <c r="F23" s="3" t="str">
        <f>VLOOKUP(Table2467[[#This Row],[Condensed Value]],D:E,2,FALSE)</f>
        <v>VITON</v>
      </c>
      <c r="G23" s="3"/>
      <c r="H23" s="4" t="str">
        <f>CONCATENATE(Table2467[[#This Row],[Standard Attributes List]]," = ",IF(Table2467[[#This Row],[Overwrite Value]]="",Table2467[[#This Row],[Ref. Value]],Table2467[[#This Row],[Overwrite Value]]))</f>
        <v>MATERIAL/O-RING(S) = VITON</v>
      </c>
      <c r="I23" t="str">
        <f>IF(Table2467[[#This Row],[Reference]]=Table2467[[#This Row],[Output]],"OK","NG")</f>
        <v>OK</v>
      </c>
      <c r="J23" s="2" t="str">
        <f>RIGHT(Table2467[[#This Row],[Output]],LEN(Table2467[[#This Row],[Output]])-FIND("=",Table2467[[#This Row],[Output]])-1)</f>
        <v>VITON</v>
      </c>
      <c r="K23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4" spans="1:11" ht="16" thickTop="1" thickBot="1">
      <c r="A24" s="7" t="s">
        <v>38</v>
      </c>
      <c r="B24" s="2" t="str">
        <f>SUBSTITUTE(SUBSTITUTE(SUBSTITUTE(Table2467[[#This Row],[Standard Attributes List]]," ",""),".",""),"-","")</f>
        <v>MAXCIRCULATIONRATEPASTPACKER(BPM)</v>
      </c>
      <c r="C24" s="3" t="s">
        <v>204</v>
      </c>
      <c r="D24" s="3" t="str">
        <f>SUBSTITUTE(SUBSTITUTE(SUBSTITUTE(LEFT(Table2467[[#This Row],[Reference]],FIND("=",Table2467[[#This Row],[Reference]])-2)," ",""),".",""),"-","")</f>
        <v>MAXCIRCULATIONRATEPASTPACKER(BPM)</v>
      </c>
      <c r="E24" s="22" t="str">
        <f>TRIM(RIGHT(Table2467[[#This Row],[Reference]],LEN(Table2467[[#This Row],[Reference]])-FIND("=",Table2467[[#This Row],[Reference]])-1))</f>
        <v>NA</v>
      </c>
      <c r="F24" s="3" t="str">
        <f>VLOOKUP(Table2467[[#This Row],[Condensed Value]],D:E,2,FALSE)</f>
        <v>NA</v>
      </c>
      <c r="G24" s="3"/>
      <c r="H24" s="4" t="str">
        <f>CONCATENATE(Table2467[[#This Row],[Standard Attributes List]]," = ",IF(Table2467[[#This Row],[Overwrite Value]]="",Table2467[[#This Row],[Ref. Value]],Table2467[[#This Row],[Overwrite Value]]))</f>
        <v>MAX. CIRCULATION RATE PAST PACKER (BPM) = NA</v>
      </c>
      <c r="I24" t="str">
        <f>IF(Table2467[[#This Row],[Reference]]=Table2467[[#This Row],[Output]],"OK","NG")</f>
        <v>OK</v>
      </c>
      <c r="J24" s="2" t="str">
        <f>RIGHT(Table2467[[#This Row],[Output]],LEN(Table2467[[#This Row],[Output]])-FIND("=",Table2467[[#This Row],[Output]])-1)</f>
        <v>NA</v>
      </c>
      <c r="K24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5" spans="1:11" ht="16" thickTop="1" thickBot="1">
      <c r="A25" s="7" t="s">
        <v>24</v>
      </c>
      <c r="B25" s="2" t="str">
        <f>SUBSTITUTE(SUBSTITUTE(SUBSTITUTE(Table2467[[#This Row],[Standard Attributes List]]," ",""),".",""),"-","")</f>
        <v>MAXDELTAT(F)</v>
      </c>
      <c r="C25" s="3" t="s">
        <v>289</v>
      </c>
      <c r="D25" s="3" t="str">
        <f>SUBSTITUTE(SUBSTITUTE(SUBSTITUTE(LEFT(Table2467[[#This Row],[Reference]],FIND("=",Table2467[[#This Row],[Reference]])-2)," ",""),".",""),"-","")</f>
        <v>MAXDELTAT(F)</v>
      </c>
      <c r="E25" s="22" t="str">
        <f>TRIM(RIGHT(Table2467[[#This Row],[Reference]],LEN(Table2467[[#This Row],[Reference]])-FIND("=",Table2467[[#This Row],[Reference]])-1))</f>
        <v>100</v>
      </c>
      <c r="F25" s="3" t="str">
        <f>VLOOKUP(Table2467[[#This Row],[Condensed Value]],D:E,2,FALSE)</f>
        <v>100</v>
      </c>
      <c r="G25" s="3"/>
      <c r="H25" s="4" t="str">
        <f>CONCATENATE(Table2467[[#This Row],[Standard Attributes List]]," = ",IF(Table2467[[#This Row],[Overwrite Value]]="",Table2467[[#This Row],[Ref. Value]],Table2467[[#This Row],[Overwrite Value]]))</f>
        <v>MAX. DELTA T (F) = 100</v>
      </c>
      <c r="I25" t="str">
        <f>IF(Table2467[[#This Row],[Reference]]=Table2467[[#This Row],[Output]],"OK","NG")</f>
        <v>OK</v>
      </c>
      <c r="J25" s="2" t="str">
        <f>RIGHT(Table2467[[#This Row],[Output]],LEN(Table2467[[#This Row],[Output]])-FIND("=",Table2467[[#This Row],[Output]])-1)</f>
        <v>100</v>
      </c>
      <c r="K25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6" spans="1:11" ht="16" thickTop="1" thickBot="1">
      <c r="A26" s="7" t="s">
        <v>39</v>
      </c>
      <c r="B26" s="2" t="str">
        <f>SUBSTITUTE(SUBSTITUTE(SUBSTITUTE(Table2467[[#This Row],[Standard Attributes List]]," ",""),".",""),"-","")</f>
        <v>MAXRIHRATE(FPM)</v>
      </c>
      <c r="C26" s="3" t="s">
        <v>290</v>
      </c>
      <c r="D26" s="3" t="str">
        <f>SUBSTITUTE(SUBSTITUTE(SUBSTITUTE(LEFT(Table2467[[#This Row],[Reference]],FIND("=",Table2467[[#This Row],[Reference]])-2)," ",""),".",""),"-","")</f>
        <v>MAXRIHRATE(FPM)</v>
      </c>
      <c r="E26" s="22" t="str">
        <f>TRIM(RIGHT(Table2467[[#This Row],[Reference]],LEN(Table2467[[#This Row],[Reference]])-FIND("=",Table2467[[#This Row],[Reference]])-1))</f>
        <v>NA</v>
      </c>
      <c r="F26" s="3" t="str">
        <f>VLOOKUP(Table2467[[#This Row],[Condensed Value]],D:E,2,FALSE)</f>
        <v>NA</v>
      </c>
      <c r="G26" s="3"/>
      <c r="H26" s="4" t="str">
        <f>CONCATENATE(Table2467[[#This Row],[Standard Attributes List]]," = ",IF(Table2467[[#This Row],[Overwrite Value]]="",Table2467[[#This Row],[Ref. Value]],Table2467[[#This Row],[Overwrite Value]]))</f>
        <v>MAX. RIH RATE (FPM) = NA</v>
      </c>
      <c r="I26" t="str">
        <f>IF(Table2467[[#This Row],[Reference]]=Table2467[[#This Row],[Output]],"OK","NG")</f>
        <v>OK</v>
      </c>
      <c r="J26" s="2" t="str">
        <f>RIGHT(Table2467[[#This Row],[Output]],LEN(Table2467[[#This Row],[Output]])-FIND("=",Table2467[[#This Row],[Output]])-1)</f>
        <v>NA</v>
      </c>
      <c r="K26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7" spans="1:11" ht="16" thickTop="1" thickBot="1">
      <c r="A27" s="7" t="s">
        <v>6</v>
      </c>
      <c r="B27" s="2" t="str">
        <f>SUBSTITUTE(SUBSTITUTE(SUBSTITUTE(Table2467[[#This Row],[Standard Attributes List]]," ",""),".",""),"-","")</f>
        <v>MAXWORKINGTEMPERATURE(DEGF)</v>
      </c>
      <c r="C27" s="3" t="s">
        <v>383</v>
      </c>
      <c r="D27" s="3" t="str">
        <f>SUBSTITUTE(SUBSTITUTE(SUBSTITUTE(LEFT(Table2467[[#This Row],[Reference]],FIND("=",Table2467[[#This Row],[Reference]])-2)," ",""),".",""),"-","")</f>
        <v>MAXWORKINGTEMPERATURE(DEGF)</v>
      </c>
      <c r="E27" s="22" t="str">
        <f>TRIM(RIGHT(Table2467[[#This Row],[Reference]],LEN(Table2467[[#This Row],[Reference]])-FIND("=",Table2467[[#This Row],[Reference]])-1))</f>
        <v>200</v>
      </c>
      <c r="F27" s="3" t="str">
        <f>VLOOKUP(Table2467[[#This Row],[Condensed Value]],D:E,2,FALSE)</f>
        <v>200</v>
      </c>
      <c r="G27" s="3"/>
      <c r="H27" s="4" t="str">
        <f>CONCATENATE(Table2467[[#This Row],[Standard Attributes List]]," = ",IF(Table2467[[#This Row],[Overwrite Value]]="",Table2467[[#This Row],[Ref. Value]],Table2467[[#This Row],[Overwrite Value]]))</f>
        <v>MAX. WORKING TEMPERATURE (DEG.F) = 200</v>
      </c>
      <c r="I27" t="str">
        <f>IF(Table2467[[#This Row],[Reference]]=Table2467[[#This Row],[Output]],"OK","NG")</f>
        <v>OK</v>
      </c>
      <c r="J27" s="2" t="str">
        <f>RIGHT(Table2467[[#This Row],[Output]],LEN(Table2467[[#This Row],[Output]])-FIND("=",Table2467[[#This Row],[Output]])-1)</f>
        <v>200</v>
      </c>
      <c r="K27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8" spans="1:11" ht="16" thickTop="1" thickBot="1">
      <c r="A28" s="7" t="s">
        <v>7</v>
      </c>
      <c r="B28" s="2" t="str">
        <f>SUBSTITUTE(SUBSTITUTE(SUBSTITUTE(Table2467[[#This Row],[Standard Attributes List]]," ",""),".",""),"-","")</f>
        <v>MINWORKINGTEMPERATURE(DEGF)</v>
      </c>
      <c r="C28" s="3" t="s">
        <v>207</v>
      </c>
      <c r="D28" s="3" t="str">
        <f>SUBSTITUTE(SUBSTITUTE(SUBSTITUTE(LEFT(Table2467[[#This Row],[Reference]],FIND("=",Table2467[[#This Row],[Reference]])-2)," ",""),".",""),"-","")</f>
        <v>MINWORKINGTEMPERATURE(DEGF)</v>
      </c>
      <c r="E28" s="22" t="str">
        <f>TRIM(RIGHT(Table2467[[#This Row],[Reference]],LEN(Table2467[[#This Row],[Reference]])-FIND("=",Table2467[[#This Row],[Reference]])-1))</f>
        <v>100</v>
      </c>
      <c r="F28" s="3" t="str">
        <f>VLOOKUP(Table2467[[#This Row],[Condensed Value]],D:E,2,FALSE)</f>
        <v>100</v>
      </c>
      <c r="G28" s="3"/>
      <c r="H28" s="4" t="str">
        <f>CONCATENATE(Table2467[[#This Row],[Standard Attributes List]]," = ",IF(Table2467[[#This Row],[Overwrite Value]]="",Table2467[[#This Row],[Ref. Value]],Table2467[[#This Row],[Overwrite Value]]))</f>
        <v>MIN. WORKING TEMPERATURE (DEG.F) = 100</v>
      </c>
      <c r="I28" t="str">
        <f>IF(Table2467[[#This Row],[Reference]]=Table2467[[#This Row],[Output]],"OK","NG")</f>
        <v>OK</v>
      </c>
      <c r="J28" s="2" t="str">
        <f>RIGHT(Table2467[[#This Row],[Output]],LEN(Table2467[[#This Row],[Output]])-FIND("=",Table2467[[#This Row],[Output]])-1)</f>
        <v>100</v>
      </c>
      <c r="K28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9" spans="1:11" ht="16" thickTop="1" thickBot="1">
      <c r="A29" s="7" t="s">
        <v>8</v>
      </c>
      <c r="B29" s="2" t="str">
        <f>SUBSTITUTE(SUBSTITUTE(SUBSTITUTE(Table2467[[#This Row],[Standard Attributes List]]," ",""),".",""),"-","")</f>
        <v>ODMAX(IN)</v>
      </c>
      <c r="C29" s="3" t="s">
        <v>384</v>
      </c>
      <c r="D29" s="3" t="str">
        <f>SUBSTITUTE(SUBSTITUTE(SUBSTITUTE(LEFT(Table2467[[#This Row],[Reference]],FIND("=",Table2467[[#This Row],[Reference]])-2)," ",""),".",""),"-","")</f>
        <v>OD(IN)</v>
      </c>
      <c r="E29" s="22" t="str">
        <f>TRIM(RIGHT(Table2467[[#This Row],[Reference]],LEN(Table2467[[#This Row],[Reference]])-FIND("=",Table2467[[#This Row],[Reference]])-1))</f>
        <v>6.000</v>
      </c>
      <c r="F29" s="3" t="str">
        <f>VLOOKUP(Table2467[[#This Row],[Condensed Value]],D:E,2,FALSE)</f>
        <v>6.000</v>
      </c>
      <c r="G29" s="3"/>
      <c r="H29" s="4" t="str">
        <f>CONCATENATE(Table2467[[#This Row],[Standard Attributes List]]," = ",IF(Table2467[[#This Row],[Overwrite Value]]="",Table2467[[#This Row],[Ref. Value]],Table2467[[#This Row],[Overwrite Value]]))</f>
        <v>O.D. - MAX. (IN) = 6.000</v>
      </c>
      <c r="I29" t="str">
        <f>IF(Table2467[[#This Row],[Reference]]=Table2467[[#This Row],[Output]],"OK","NG")</f>
        <v>NG</v>
      </c>
      <c r="J29" s="2" t="str">
        <f>RIGHT(Table2467[[#This Row],[Output]],LEN(Table2467[[#This Row],[Output]])-FIND("=",Table2467[[#This Row],[Output]])-1)</f>
        <v>6.000</v>
      </c>
      <c r="K29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0" spans="1:11" ht="16" thickTop="1" thickBot="1">
      <c r="A30" s="7" t="s">
        <v>9</v>
      </c>
      <c r="B30" s="2" t="str">
        <f>SUBSTITUTE(SUBSTITUTE(SUBSTITUTE(Table2467[[#This Row],[Standard Attributes List]]," ",""),".",""),"-","")</f>
        <v>OD(IN)</v>
      </c>
      <c r="C30" s="3" t="s">
        <v>385</v>
      </c>
      <c r="D30" s="3" t="str">
        <f>SUBSTITUTE(SUBSTITUTE(SUBSTITUTE(LEFT(Table2467[[#This Row],[Reference]],FIND("=",Table2467[[#This Row],[Reference]])-2)," ",""),".",""),"-","")</f>
        <v>ODMAX(IN)</v>
      </c>
      <c r="E30" s="22" t="str">
        <f>TRIM(RIGHT(Table2467[[#This Row],[Reference]],LEN(Table2467[[#This Row],[Reference]])-FIND("=",Table2467[[#This Row],[Reference]])-1))</f>
        <v>6.000</v>
      </c>
      <c r="F30" s="3" t="str">
        <f>VLOOKUP(Table2467[[#This Row],[Condensed Value]],D:E,2,FALSE)</f>
        <v>6.000</v>
      </c>
      <c r="G30" s="3"/>
      <c r="H30" s="4" t="str">
        <f>CONCATENATE(Table2467[[#This Row],[Standard Attributes List]]," = ",IF(Table2467[[#This Row],[Overwrite Value]]="",Table2467[[#This Row],[Ref. Value]],Table2467[[#This Row],[Overwrite Value]]))</f>
        <v>O.D. (IN) = 6.000</v>
      </c>
      <c r="I30" t="str">
        <f>IF(Table2467[[#This Row],[Reference]]=Table2467[[#This Row],[Output]],"OK","NG")</f>
        <v>NG</v>
      </c>
      <c r="J30" s="2" t="str">
        <f>RIGHT(Table2467[[#This Row],[Output]],LEN(Table2467[[#This Row],[Output]])-FIND("=",Table2467[[#This Row],[Output]])-1)</f>
        <v>6.000</v>
      </c>
      <c r="K30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1" spans="1:11" ht="16" thickTop="1" thickBot="1">
      <c r="A31" s="7" t="s">
        <v>40</v>
      </c>
      <c r="B31" s="2" t="str">
        <f>SUBSTITUTE(SUBSTITUTE(SUBSTITUTE(Table2467[[#This Row],[Standard Attributes List]]," ",""),".",""),"-","")</f>
        <v>OPERATIONSMANUAL</v>
      </c>
      <c r="C31" s="3" t="s">
        <v>386</v>
      </c>
      <c r="D31" s="3" t="str">
        <f>SUBSTITUTE(SUBSTITUTE(SUBSTITUTE(LEFT(Table2467[[#This Row],[Reference]],FIND("=",Table2467[[#This Row],[Reference]])-2)," ",""),".",""),"-","")</f>
        <v>OPERATIONSMANUAL</v>
      </c>
      <c r="E31" s="22" t="str">
        <f>TRIM(RIGHT(Table2467[[#This Row],[Reference]],LEN(Table2467[[#This Row],[Reference]])-FIND("=",Table2467[[#This Row],[Reference]])-1))</f>
        <v>NA</v>
      </c>
      <c r="F31" s="3" t="str">
        <f>VLOOKUP(Table2467[[#This Row],[Condensed Value]],D:E,2,FALSE)</f>
        <v>NA</v>
      </c>
      <c r="G31" s="3"/>
      <c r="H31" s="4" t="str">
        <f>CONCATENATE(Table2467[[#This Row],[Standard Attributes List]]," = ",IF(Table2467[[#This Row],[Overwrite Value]]="",Table2467[[#This Row],[Ref. Value]],Table2467[[#This Row],[Overwrite Value]]))</f>
        <v>OPERATIONS MANUAL = NA</v>
      </c>
      <c r="I31" t="str">
        <f>IF(Table2467[[#This Row],[Reference]]=Table2467[[#This Row],[Output]],"OK","NG")</f>
        <v>OK</v>
      </c>
      <c r="J31" s="2" t="str">
        <f>RIGHT(Table2467[[#This Row],[Output]],LEN(Table2467[[#This Row],[Output]])-FIND("=",Table2467[[#This Row],[Output]])-1)</f>
        <v>NA</v>
      </c>
      <c r="K31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2" spans="1:11" ht="16" thickTop="1" thickBot="1">
      <c r="A32" s="7" t="s">
        <v>10</v>
      </c>
      <c r="B32" s="2" t="str">
        <f>SUBSTITUTE(SUBSTITUTE(SUBSTITUTE(Table2467[[#This Row],[Standard Attributes List]]," ",""),".",""),"-","")</f>
        <v>OVERALLLENGTH(IN)</v>
      </c>
      <c r="C32" s="3" t="s">
        <v>387</v>
      </c>
      <c r="D32" s="3" t="str">
        <f>SUBSTITUTE(SUBSTITUTE(SUBSTITUTE(LEFT(Table2467[[#This Row],[Reference]],FIND("=",Table2467[[#This Row],[Reference]])-2)," ",""),".",""),"-","")</f>
        <v>OVERALLLENGTH(IN)</v>
      </c>
      <c r="E32" s="22" t="str">
        <f>TRIM(RIGHT(Table2467[[#This Row],[Reference]],LEN(Table2467[[#This Row],[Reference]])-FIND("=",Table2467[[#This Row],[Reference]])-1))</f>
        <v>92</v>
      </c>
      <c r="F32" s="3" t="str">
        <f>VLOOKUP(Table2467[[#This Row],[Condensed Value]],D:E,2,FALSE)</f>
        <v>92</v>
      </c>
      <c r="G32" s="3"/>
      <c r="H32" s="4" t="str">
        <f>CONCATENATE(Table2467[[#This Row],[Standard Attributes List]]," = ",IF(Table2467[[#This Row],[Overwrite Value]]="",Table2467[[#This Row],[Ref. Value]],Table2467[[#This Row],[Overwrite Value]]))</f>
        <v>OVERALL LENGTH (IN) = 92</v>
      </c>
      <c r="I32" t="str">
        <f>IF(Table2467[[#This Row],[Reference]]=Table2467[[#This Row],[Output]],"OK","NG")</f>
        <v>OK</v>
      </c>
      <c r="J32" s="2" t="str">
        <f>RIGHT(Table2467[[#This Row],[Output]],LEN(Table2467[[#This Row],[Output]])-FIND("=",Table2467[[#This Row],[Output]])-1)</f>
        <v>92</v>
      </c>
      <c r="K32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3" spans="1:14" ht="16" thickTop="1" thickBot="1">
      <c r="A33" s="7" t="s">
        <v>25</v>
      </c>
      <c r="B33" s="2" t="str">
        <f>SUBSTITUTE(SUBSTITUTE(SUBSTITUTE(Table2467[[#This Row],[Standard Attributes List]]," ",""),".",""),"-","")</f>
        <v>PACKERENVELOPEPOINTSISOLATEDLOAD(LBS)</v>
      </c>
      <c r="C33" s="3" t="s">
        <v>212</v>
      </c>
      <c r="D33" s="3" t="str">
        <f>SUBSTITUTE(SUBSTITUTE(SUBSTITUTE(LEFT(Table2467[[#This Row],[Reference]],FIND("=",Table2467[[#This Row],[Reference]])-2)," ",""),".",""),"-","")</f>
        <v>PACKERENVELOPEPOINTSISOLATEDLOAD(LBS)</v>
      </c>
      <c r="E33" s="22" t="str">
        <f>TRIM(RIGHT(Table2467[[#This Row],[Reference]],LEN(Table2467[[#This Row],[Reference]])-FIND("=",Table2467[[#This Row],[Reference]])-1))</f>
        <v>NA</v>
      </c>
      <c r="F33" s="3" t="str">
        <f>VLOOKUP(Table2467[[#This Row],[Condensed Value]],D:E,2,FALSE)</f>
        <v>NA</v>
      </c>
      <c r="G33" s="3"/>
      <c r="H33" s="4" t="str">
        <f>CONCATENATE(Table2467[[#This Row],[Standard Attributes List]]," = ",IF(Table2467[[#This Row],[Overwrite Value]]="",Table2467[[#This Row],[Ref. Value]],Table2467[[#This Row],[Overwrite Value]]))</f>
        <v>PACKER ENVELOPE POINTS ISOLATED - LOAD (LBS) = NA</v>
      </c>
      <c r="I33" t="str">
        <f>IF(Table2467[[#This Row],[Reference]]=Table2467[[#This Row],[Output]],"OK","NG")</f>
        <v>OK</v>
      </c>
      <c r="J33" s="2" t="str">
        <f>RIGHT(Table2467[[#This Row],[Output]],LEN(Table2467[[#This Row],[Output]])-FIND("=",Table2467[[#This Row],[Output]])-1)</f>
        <v>NA</v>
      </c>
      <c r="K33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4" spans="1:14" ht="16" thickTop="1" thickBot="1">
      <c r="A34" s="7" t="s">
        <v>26</v>
      </c>
      <c r="B34" s="2" t="str">
        <f>SUBSTITUTE(SUBSTITUTE(SUBSTITUTE(Table2467[[#This Row],[Standard Attributes List]]," ",""),".",""),"-","")</f>
        <v>PACKERENVELOPEPOINTSISOLATEDPRESSURE(PSI)</v>
      </c>
      <c r="C34" s="3" t="s">
        <v>213</v>
      </c>
      <c r="D34" s="3" t="str">
        <f>SUBSTITUTE(SUBSTITUTE(SUBSTITUTE(LEFT(Table2467[[#This Row],[Reference]],FIND("=",Table2467[[#This Row],[Reference]])-2)," ",""),".",""),"-","")</f>
        <v>PACKERENVELOPEPOINTSISOLATEDPRESSURE(PSI)</v>
      </c>
      <c r="E34" s="22" t="str">
        <f>TRIM(RIGHT(Table2467[[#This Row],[Reference]],LEN(Table2467[[#This Row],[Reference]])-FIND("=",Table2467[[#This Row],[Reference]])-1))</f>
        <v>NA</v>
      </c>
      <c r="F34" s="3" t="str">
        <f>VLOOKUP(Table2467[[#This Row],[Condensed Value]],D:E,2,FALSE)</f>
        <v>NA</v>
      </c>
      <c r="G34" s="3"/>
      <c r="H34" s="4" t="str">
        <f>CONCATENATE(Table2467[[#This Row],[Standard Attributes List]]," = ",IF(Table2467[[#This Row],[Overwrite Value]]="",Table2467[[#This Row],[Ref. Value]],Table2467[[#This Row],[Overwrite Value]]))</f>
        <v>PACKER ENVELOPE POINTS ISOLATED - PRESSURE (PSI) = NA</v>
      </c>
      <c r="I34" t="str">
        <f>IF(Table2467[[#This Row],[Reference]]=Table2467[[#This Row],[Output]],"OK","NG")</f>
        <v>OK</v>
      </c>
      <c r="J34" s="2" t="str">
        <f>RIGHT(Table2467[[#This Row],[Output]],LEN(Table2467[[#This Row],[Output]])-FIND("=",Table2467[[#This Row],[Output]])-1)</f>
        <v>NA</v>
      </c>
      <c r="K34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5" spans="1:14" ht="16" thickTop="1" thickBot="1">
      <c r="A35" s="7" t="s">
        <v>27</v>
      </c>
      <c r="B35" s="2" t="str">
        <f>SUBSTITUTE(SUBSTITUTE(SUBSTITUTE(Table2467[[#This Row],[Standard Attributes List]]," ",""),".",""),"-","")</f>
        <v>PACKERENVELOPEPOINTSPLUGGEDBELOWLOAD(LBS)</v>
      </c>
      <c r="C35" s="3" t="s">
        <v>214</v>
      </c>
      <c r="D35" s="3" t="str">
        <f>SUBSTITUTE(SUBSTITUTE(SUBSTITUTE(LEFT(Table2467[[#This Row],[Reference]],FIND("=",Table2467[[#This Row],[Reference]])-2)," ",""),".",""),"-","")</f>
        <v>PACKERENVELOPEPOINTSPLUGGEDBELOWLOAD(LBS)</v>
      </c>
      <c r="E35" s="22" t="str">
        <f>TRIM(RIGHT(Table2467[[#This Row],[Reference]],LEN(Table2467[[#This Row],[Reference]])-FIND("=",Table2467[[#This Row],[Reference]])-1))</f>
        <v>NA</v>
      </c>
      <c r="F35" s="3" t="str">
        <f>VLOOKUP(Table2467[[#This Row],[Condensed Value]],D:E,2,FALSE)</f>
        <v>NA</v>
      </c>
      <c r="G35" s="3"/>
      <c r="H35" s="4" t="str">
        <f>CONCATENATE(Table2467[[#This Row],[Standard Attributes List]]," = ",IF(Table2467[[#This Row],[Overwrite Value]]="",Table2467[[#This Row],[Ref. Value]],Table2467[[#This Row],[Overwrite Value]]))</f>
        <v>PACKER ENVELOPE POINTS PLUGGED - BELOW - LOAD (LBS) = NA</v>
      </c>
      <c r="I35" t="str">
        <f>IF(Table2467[[#This Row],[Reference]]=Table2467[[#This Row],[Output]],"OK","NG")</f>
        <v>OK</v>
      </c>
      <c r="J35" s="2" t="str">
        <f>RIGHT(Table2467[[#This Row],[Output]],LEN(Table2467[[#This Row],[Output]])-FIND("=",Table2467[[#This Row],[Output]])-1)</f>
        <v>NA</v>
      </c>
      <c r="K35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6" spans="1:14" ht="16" thickTop="1" thickBot="1">
      <c r="A36" s="7" t="s">
        <v>28</v>
      </c>
      <c r="B36" s="2" t="str">
        <f>SUBSTITUTE(SUBSTITUTE(SUBSTITUTE(Table2467[[#This Row],[Standard Attributes List]]," ",""),".",""),"-","")</f>
        <v>PACKERENVELOPEPOINTSPLUGGEDBELOWPRESSURE(PSI)</v>
      </c>
      <c r="C36" s="3" t="s">
        <v>215</v>
      </c>
      <c r="D36" s="3" t="str">
        <f>SUBSTITUTE(SUBSTITUTE(SUBSTITUTE(LEFT(Table2467[[#This Row],[Reference]],FIND("=",Table2467[[#This Row],[Reference]])-2)," ",""),".",""),"-","")</f>
        <v>PACKERENVELOPEPOINTSPLUGGEDBELOWPRESSURE(PSI)</v>
      </c>
      <c r="E36" s="22" t="str">
        <f>TRIM(RIGHT(Table2467[[#This Row],[Reference]],LEN(Table2467[[#This Row],[Reference]])-FIND("=",Table2467[[#This Row],[Reference]])-1))</f>
        <v>NA</v>
      </c>
      <c r="F36" s="3" t="str">
        <f>VLOOKUP(Table2467[[#This Row],[Condensed Value]],D:E,2,FALSE)</f>
        <v>NA</v>
      </c>
      <c r="G36" s="3"/>
      <c r="H36" s="4" t="str">
        <f>CONCATENATE(Table2467[[#This Row],[Standard Attributes List]]," = ",IF(Table2467[[#This Row],[Overwrite Value]]="",Table2467[[#This Row],[Ref. Value]],Table2467[[#This Row],[Overwrite Value]]))</f>
        <v>PACKER ENVELOPE POINTS PLUGGED - BELOW - PRESSURE (PSI) = NA</v>
      </c>
      <c r="I36" t="str">
        <f>IF(Table2467[[#This Row],[Reference]]=Table2467[[#This Row],[Output]],"OK","NG")</f>
        <v>OK</v>
      </c>
      <c r="J36" s="2" t="str">
        <f>RIGHT(Table2467[[#This Row],[Output]],LEN(Table2467[[#This Row],[Output]])-FIND("=",Table2467[[#This Row],[Output]])-1)</f>
        <v>NA</v>
      </c>
      <c r="K36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7" spans="1:14" ht="16" thickTop="1" thickBot="1">
      <c r="A37" s="7" t="s">
        <v>29</v>
      </c>
      <c r="B37" s="2" t="str">
        <f>SUBSTITUTE(SUBSTITUTE(SUBSTITUTE(Table2467[[#This Row],[Standard Attributes List]]," ",""),".",""),"-","")</f>
        <v>PACKERENVELOPEPOINTSUNPLUGGEDLOAD(LBS)</v>
      </c>
      <c r="C37" s="3" t="s">
        <v>388</v>
      </c>
      <c r="D37" s="3" t="str">
        <f>SUBSTITUTE(SUBSTITUTE(SUBSTITUTE(LEFT(Table2467[[#This Row],[Reference]],FIND("=",Table2467[[#This Row],[Reference]])-2)," ",""),".",""),"-","")</f>
        <v>PACKERENVELOPEPOINTSUNPLUGGEDLOAD(LBS)</v>
      </c>
      <c r="E37" s="22" t="str">
        <f>TRIM(RIGHT(Table2467[[#This Row],[Reference]],LEN(Table2467[[#This Row],[Reference]])-FIND("=",Table2467[[#This Row],[Reference]])-1))</f>
        <v>100000, 97070, -100000, -100000, 100000</v>
      </c>
      <c r="F37" s="3" t="str">
        <f>VLOOKUP(Table2467[[#This Row],[Condensed Value]],D:E,2,FALSE)</f>
        <v>100000, 97070, -100000, -100000, 100000</v>
      </c>
      <c r="G37" s="3"/>
      <c r="H37" s="4" t="str">
        <f>CONCATENATE(Table2467[[#This Row],[Standard Attributes List]]," = ",IF(Table2467[[#This Row],[Overwrite Value]]="",Table2467[[#This Row],[Ref. Value]],Table2467[[#This Row],[Overwrite Value]]))</f>
        <v>PACKER ENVELOPE POINTS UNPLUGGED - LOAD (LBS) = 100000, 97070, -100000, -100000, 100000</v>
      </c>
      <c r="I37" t="str">
        <f>IF(Table2467[[#This Row],[Reference]]=Table2467[[#This Row],[Output]],"OK","NG")</f>
        <v>OK</v>
      </c>
      <c r="J37" s="2" t="str">
        <f>RIGHT(Table2467[[#This Row],[Output]],LEN(Table2467[[#This Row],[Output]])-FIND("=",Table2467[[#This Row],[Output]])-1)</f>
        <v>100000, 97070, -100000, -100000, 100000</v>
      </c>
      <c r="K37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8" spans="1:14" ht="16" thickTop="1" thickBot="1">
      <c r="A38" s="7" t="s">
        <v>30</v>
      </c>
      <c r="B38" s="2" t="str">
        <f>SUBSTITUTE(SUBSTITUTE(SUBSTITUTE(Table2467[[#This Row],[Standard Attributes List]]," ",""),".",""),"-","")</f>
        <v>PACKERENVELOPEPOINTSUNPLUGGEDPRESSURE(PSI)</v>
      </c>
      <c r="C38" s="3" t="s">
        <v>389</v>
      </c>
      <c r="D38" s="3" t="str">
        <f>SUBSTITUTE(SUBSTITUTE(SUBSTITUTE(LEFT(Table2467[[#This Row],[Reference]],FIND("=",Table2467[[#This Row],[Reference]])-2)," ",""),".",""),"-","")</f>
        <v>PACKERENVELOPEPOINTSUNPLUGGEDPRESSURE(PSI)</v>
      </c>
      <c r="E38" s="22" t="str">
        <f>TRIM(RIGHT(Table2467[[#This Row],[Reference]],LEN(Table2467[[#This Row],[Reference]])-FIND("=",Table2467[[#This Row],[Reference]])-1))</f>
        <v>0, 5000, 5000, -5000, -5000</v>
      </c>
      <c r="F38" s="3" t="str">
        <f>VLOOKUP(Table2467[[#This Row],[Condensed Value]],D:E,2,FALSE)</f>
        <v>0, 5000, 5000, -5000, -5000</v>
      </c>
      <c r="G38" s="3"/>
      <c r="H38" s="4" t="str">
        <f>CONCATENATE(Table2467[[#This Row],[Standard Attributes List]]," = ",IF(Table2467[[#This Row],[Overwrite Value]]="",Table2467[[#This Row],[Ref. Value]],Table2467[[#This Row],[Overwrite Value]]))</f>
        <v>PACKER ENVELOPE POINTS UNPLUGGED - PRESSURE (PSI) = 0, 5000, 5000, -5000, -5000</v>
      </c>
      <c r="I38" t="str">
        <f>IF(Table2467[[#This Row],[Reference]]=Table2467[[#This Row],[Output]],"OK","NG")</f>
        <v>OK</v>
      </c>
      <c r="J38" s="2" t="str">
        <f>RIGHT(Table2467[[#This Row],[Output]],LEN(Table2467[[#This Row],[Output]])-FIND("=",Table2467[[#This Row],[Output]])-1)</f>
        <v>0, 5000, 5000, -5000, -5000</v>
      </c>
      <c r="K38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9" spans="1:14" ht="16" thickTop="1" thickBot="1">
      <c r="A39" s="7" t="s">
        <v>41</v>
      </c>
      <c r="B39" s="2" t="str">
        <f>SUBSTITUTE(SUBSTITUTE(SUBSTITUTE(Table2467[[#This Row],[Standard Attributes List]]," ",""),".",""),"-","")</f>
        <v>QUALITYCONTROLGRADE</v>
      </c>
      <c r="C39" s="3" t="s">
        <v>60</v>
      </c>
      <c r="D39" s="3" t="str">
        <f>SUBSTITUTE(SUBSTITUTE(SUBSTITUTE(LEFT(Table2467[[#This Row],[Reference]],FIND("=",Table2467[[#This Row],[Reference]])-2)," ",""),".",""),"-","")</f>
        <v>QUALITYCONTROLGRADE</v>
      </c>
      <c r="E39" s="22" t="str">
        <f>TRIM(RIGHT(Table2467[[#This Row],[Reference]],LEN(Table2467[[#This Row],[Reference]])-FIND("=",Table2467[[#This Row],[Reference]])-1))</f>
        <v>Q3</v>
      </c>
      <c r="F39" s="3" t="str">
        <f>VLOOKUP(Table2467[[#This Row],[Condensed Value]],D:E,2,FALSE)</f>
        <v>Q3</v>
      </c>
      <c r="G39" s="3"/>
      <c r="H39" s="4" t="str">
        <f>CONCATENATE(Table2467[[#This Row],[Standard Attributes List]]," = ",IF(Table2467[[#This Row],[Overwrite Value]]="",Table2467[[#This Row],[Ref. Value]],Table2467[[#This Row],[Overwrite Value]]))</f>
        <v>QUALITY CONTROL GRADE = Q3</v>
      </c>
      <c r="I39" t="str">
        <f>IF(Table2467[[#This Row],[Reference]]=Table2467[[#This Row],[Output]],"OK","NG")</f>
        <v>OK</v>
      </c>
      <c r="J39" s="2" t="str">
        <f>RIGHT(Table2467[[#This Row],[Output]],LEN(Table2467[[#This Row],[Output]])-FIND("=",Table2467[[#This Row],[Output]])-1)</f>
        <v>Q3</v>
      </c>
      <c r="K39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40" spans="1:14" ht="16" thickTop="1" thickBot="1">
      <c r="A40" s="7" t="s">
        <v>11</v>
      </c>
      <c r="B40" s="2" t="str">
        <f>SUBSTITUTE(SUBSTITUTE(SUBSTITUTE(Table2467[[#This Row],[Standard Attributes List]]," ",""),".",""),"-","")</f>
        <v>QUALITYCONTROLPLANQCP</v>
      </c>
      <c r="C40" s="3" t="s">
        <v>55</v>
      </c>
      <c r="D40" s="3" t="str">
        <f>SUBSTITUTE(SUBSTITUTE(SUBSTITUTE(LEFT(Table2467[[#This Row],[Reference]],FIND("=",Table2467[[#This Row],[Reference]])-2)," ",""),".",""),"-","")</f>
        <v>QUALITYCONTROLPLANQCP</v>
      </c>
      <c r="E40" s="22" t="str">
        <f>TRIM(RIGHT(Table2467[[#This Row],[Reference]],LEN(Table2467[[#This Row],[Reference]])-FIND("=",Table2467[[#This Row],[Reference]])-1))</f>
        <v>STD SLB</v>
      </c>
      <c r="F40" s="3" t="str">
        <f>VLOOKUP(Table2467[[#This Row],[Condensed Value]],D:E,2,FALSE)</f>
        <v>STD SLB</v>
      </c>
      <c r="G40" s="3"/>
      <c r="H40" s="4" t="str">
        <f>CONCATENATE(Table2467[[#This Row],[Standard Attributes List]]," = ",IF(Table2467[[#This Row],[Overwrite Value]]="",Table2467[[#This Row],[Ref. Value]],Table2467[[#This Row],[Overwrite Value]]))</f>
        <v>QUALITY CONTROL PLAN - QCP = STD SLB</v>
      </c>
      <c r="I40" t="str">
        <f>IF(Table2467[[#This Row],[Reference]]=Table2467[[#This Row],[Output]],"OK","NG")</f>
        <v>OK</v>
      </c>
      <c r="J40" s="2" t="str">
        <f>RIGHT(Table2467[[#This Row],[Output]],LEN(Table2467[[#This Row],[Output]])-FIND("=",Table2467[[#This Row],[Output]])-1)</f>
        <v>STD SLB</v>
      </c>
      <c r="K40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0" s="11"/>
      <c r="N40" s="11"/>
    </row>
    <row r="41" spans="1:14" ht="16" thickTop="1" thickBot="1">
      <c r="A41" s="7" t="s">
        <v>42</v>
      </c>
      <c r="B41" s="2" t="str">
        <f>SUBSTITUTE(SUBSTITUTE(SUBSTITUTE(Table2467[[#This Row],[Standard Attributes List]]," ",""),".",""),"-","")</f>
        <v>RETRIEVALMETHOD</v>
      </c>
      <c r="C41" s="3" t="s">
        <v>96</v>
      </c>
      <c r="D41" s="3" t="str">
        <f>SUBSTITUTE(SUBSTITUTE(SUBSTITUTE(LEFT(Table2467[[#This Row],[Reference]],FIND("=",Table2467[[#This Row],[Reference]])-2)," ",""),".",""),"-","")</f>
        <v>RETRIEVALMETHOD</v>
      </c>
      <c r="E41" s="22" t="str">
        <f>TRIM(RIGHT(Table2467[[#This Row],[Reference]],LEN(Table2467[[#This Row],[Reference]])-FIND("=",Table2467[[#This Row],[Reference]])-1))</f>
        <v>CUT-TO-RELEASE</v>
      </c>
      <c r="F41" s="3" t="str">
        <f>VLOOKUP(Table2467[[#This Row],[Condensed Value]],D:E,2,FALSE)</f>
        <v>CUT-TO-RELEASE</v>
      </c>
      <c r="G41" s="3"/>
      <c r="H41" s="4" t="str">
        <f>CONCATENATE(Table2467[[#This Row],[Standard Attributes List]]," = ",IF(Table2467[[#This Row],[Overwrite Value]]="",Table2467[[#This Row],[Ref. Value]],Table2467[[#This Row],[Overwrite Value]]))</f>
        <v>RETRIEVAL METHOD = CUT-TO-RELEASE</v>
      </c>
      <c r="I41" t="str">
        <f>IF(Table2467[[#This Row],[Reference]]=Table2467[[#This Row],[Output]],"OK","NG")</f>
        <v>OK</v>
      </c>
      <c r="J41" s="2" t="str">
        <f>RIGHT(Table2467[[#This Row],[Output]],LEN(Table2467[[#This Row],[Output]])-FIND("=",Table2467[[#This Row],[Output]])-1)</f>
        <v>CUT-TO-RELEASE</v>
      </c>
      <c r="K41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1" s="11"/>
      <c r="N41" s="11"/>
    </row>
    <row r="42" spans="1:14" ht="16" thickTop="1" thickBot="1">
      <c r="A42" s="7" t="s">
        <v>31</v>
      </c>
      <c r="B42" s="2" t="str">
        <f>SUBSTITUTE(SUBSTITUTE(SUBSTITUTE(Table2467[[#This Row],[Standard Attributes List]]," ",""),".",""),"-","")</f>
        <v>SEALDIAMETER(IN)</v>
      </c>
      <c r="C42" s="3" t="s">
        <v>390</v>
      </c>
      <c r="D42" s="3" t="str">
        <f>SUBSTITUTE(SUBSTITUTE(SUBSTITUTE(LEFT(Table2467[[#This Row],[Reference]],FIND("=",Table2467[[#This Row],[Reference]])-2)," ",""),".",""),"-","")</f>
        <v>SEALDIAMETER(IN)</v>
      </c>
      <c r="E42" s="22" t="str">
        <f>TRIM(RIGHT(Table2467[[#This Row],[Reference]],LEN(Table2467[[#This Row],[Reference]])-FIND("=",Table2467[[#This Row],[Reference]])-1))</f>
        <v>NA</v>
      </c>
      <c r="F42" s="3" t="str">
        <f>VLOOKUP(Table2467[[#This Row],[Condensed Value]],D:E,2,FALSE)</f>
        <v>NA</v>
      </c>
      <c r="G42" s="3"/>
      <c r="H42" s="4" t="str">
        <f>CONCATENATE(Table2467[[#This Row],[Standard Attributes List]]," = ",IF(Table2467[[#This Row],[Overwrite Value]]="",Table2467[[#This Row],[Ref. Value]],Table2467[[#This Row],[Overwrite Value]]))</f>
        <v>SEAL DIAMETER (IN) = NA</v>
      </c>
      <c r="I42" t="str">
        <f>IF(Table2467[[#This Row],[Reference]]=Table2467[[#This Row],[Output]],"OK","NG")</f>
        <v>OK</v>
      </c>
      <c r="J42" s="2" t="str">
        <f>RIGHT(Table2467[[#This Row],[Output]],LEN(Table2467[[#This Row],[Output]])-FIND("=",Table2467[[#This Row],[Output]])-1)</f>
        <v>NA</v>
      </c>
      <c r="K42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2" s="11"/>
      <c r="N42" s="11"/>
    </row>
    <row r="43" spans="1:14" ht="16" thickTop="1" thickBot="1">
      <c r="A43" s="7" t="s">
        <v>12</v>
      </c>
      <c r="B43" s="2" t="str">
        <f>SUBSTITUTE(SUBSTITUTE(SUBSTITUTE(Table2467[[#This Row],[Standard Attributes List]]," ",""),".",""),"-","")</f>
        <v>SERVICENACE(YES/NO)</v>
      </c>
      <c r="C43" s="3" t="s">
        <v>49</v>
      </c>
      <c r="D43" s="3" t="str">
        <f>SUBSTITUTE(SUBSTITUTE(SUBSTITUTE(LEFT(Table2467[[#This Row],[Reference]],FIND("=",Table2467[[#This Row],[Reference]])-2)," ",""),".",""),"-","")</f>
        <v>SERVICENACE(YES/NO)</v>
      </c>
      <c r="E43" s="22" t="str">
        <f>TRIM(RIGHT(Table2467[[#This Row],[Reference]],LEN(Table2467[[#This Row],[Reference]])-FIND("=",Table2467[[#This Row],[Reference]])-1))</f>
        <v>YES</v>
      </c>
      <c r="F43" s="3" t="str">
        <f>VLOOKUP(Table2467[[#This Row],[Condensed Value]],D:E,2,FALSE)</f>
        <v>YES</v>
      </c>
      <c r="G43" s="3"/>
      <c r="H43" s="4" t="str">
        <f>CONCATENATE(Table2467[[#This Row],[Standard Attributes List]]," = ",IF(Table2467[[#This Row],[Overwrite Value]]="",Table2467[[#This Row],[Ref. Value]],Table2467[[#This Row],[Overwrite Value]]))</f>
        <v>SERVICE NACE (YES/NO) = YES</v>
      </c>
      <c r="I43" t="str">
        <f>IF(Table2467[[#This Row],[Reference]]=Table2467[[#This Row],[Output]],"OK","NG")</f>
        <v>OK</v>
      </c>
      <c r="J43" s="2" t="str">
        <f>RIGHT(Table2467[[#This Row],[Output]],LEN(Table2467[[#This Row],[Output]])-FIND("=",Table2467[[#This Row],[Output]])-1)</f>
        <v>YES</v>
      </c>
      <c r="K43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3" s="11"/>
      <c r="N43" s="11"/>
    </row>
    <row r="44" spans="1:14" ht="16" thickTop="1" thickBot="1">
      <c r="A44" s="7" t="s">
        <v>32</v>
      </c>
      <c r="B44" s="2" t="str">
        <f>SUBSTITUTE(SUBSTITUTE(SUBSTITUTE(Table2467[[#This Row],[Standard Attributes List]]," ",""),".",""),"-","")</f>
        <v>SETTINGDIFFERENTIALPRESSURERECOMMENDED(MIN)(PSI)</v>
      </c>
      <c r="C44" s="3" t="s">
        <v>298</v>
      </c>
      <c r="D44" s="3" t="str">
        <f>SUBSTITUTE(SUBSTITUTE(SUBSTITUTE(LEFT(Table2467[[#This Row],[Reference]],FIND("=",Table2467[[#This Row],[Reference]])-2)," ",""),".",""),"-","")</f>
        <v>SETTINGDIFFERENTIALPRESSURERECOMMENDED(MIN)(PSI)</v>
      </c>
      <c r="E44" s="22" t="str">
        <f>TRIM(RIGHT(Table2467[[#This Row],[Reference]],LEN(Table2467[[#This Row],[Reference]])-FIND("=",Table2467[[#This Row],[Reference]])-1))</f>
        <v>3500</v>
      </c>
      <c r="F44" s="3" t="str">
        <f>VLOOKUP(Table2467[[#This Row],[Condensed Value]],D:E,2,FALSE)</f>
        <v>3500</v>
      </c>
      <c r="G44" s="3"/>
      <c r="H44" s="4" t="str">
        <f>CONCATENATE(Table2467[[#This Row],[Standard Attributes List]]," = ",IF(Table2467[[#This Row],[Overwrite Value]]="",Table2467[[#This Row],[Ref. Value]],Table2467[[#This Row],[Overwrite Value]]))</f>
        <v>SETTING DIFFERENTIAL PRESSURE - RECOMMENDED (MIN)(PSI) = 3500</v>
      </c>
      <c r="I44" t="str">
        <f>IF(Table2467[[#This Row],[Reference]]=Table2467[[#This Row],[Output]],"OK","NG")</f>
        <v>OK</v>
      </c>
      <c r="J44" s="2" t="str">
        <f>RIGHT(Table2467[[#This Row],[Output]],LEN(Table2467[[#This Row],[Output]])-FIND("=",Table2467[[#This Row],[Output]])-1)</f>
        <v>3500</v>
      </c>
      <c r="K44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4" s="11"/>
      <c r="N44" s="11"/>
    </row>
    <row r="45" spans="1:14" ht="16" thickTop="1" thickBot="1">
      <c r="A45" s="7" t="s">
        <v>43</v>
      </c>
      <c r="B45" s="2" t="str">
        <f>SUBSTITUTE(SUBSTITUTE(SUBSTITUTE(Table2467[[#This Row],[Standard Attributes List]]," ",""),".",""),"-","")</f>
        <v>SETTINGMETHOD</v>
      </c>
      <c r="C45" s="3" t="s">
        <v>99</v>
      </c>
      <c r="D45" s="3" t="str">
        <f>SUBSTITUTE(SUBSTITUTE(SUBSTITUTE(LEFT(Table2467[[#This Row],[Reference]],FIND("=",Table2467[[#This Row],[Reference]])-2)," ",""),".",""),"-","")</f>
        <v>SETTINGMETHOD</v>
      </c>
      <c r="E45" s="22" t="str">
        <f>TRIM(RIGHT(Table2467[[#This Row],[Reference]],LEN(Table2467[[#This Row],[Reference]])-FIND("=",Table2467[[#This Row],[Reference]])-1))</f>
        <v>HYDRAULIC</v>
      </c>
      <c r="F45" s="3" t="str">
        <f>VLOOKUP(Table2467[[#This Row],[Condensed Value]],D:E,2,FALSE)</f>
        <v>HYDRAULIC</v>
      </c>
      <c r="G45" s="3"/>
      <c r="H45" s="4" t="str">
        <f>CONCATENATE(Table2467[[#This Row],[Standard Attributes List]]," = ",IF(Table2467[[#This Row],[Overwrite Value]]="",Table2467[[#This Row],[Ref. Value]],Table2467[[#This Row],[Overwrite Value]]))</f>
        <v>SETTING METHOD = HYDRAULIC</v>
      </c>
      <c r="I45" t="str">
        <f>IF(Table2467[[#This Row],[Reference]]=Table2467[[#This Row],[Output]],"OK","NG")</f>
        <v>OK</v>
      </c>
      <c r="J45" s="2" t="str">
        <f>RIGHT(Table2467[[#This Row],[Output]],LEN(Table2467[[#This Row],[Output]])-FIND("=",Table2467[[#This Row],[Output]])-1)</f>
        <v>HYDRAULIC</v>
      </c>
      <c r="K45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5" s="11"/>
      <c r="N45" s="11"/>
    </row>
    <row r="46" spans="1:14" ht="16" thickTop="1" thickBot="1">
      <c r="A46" s="7" t="s">
        <v>108</v>
      </c>
      <c r="B46" s="2" t="str">
        <f>SUBSTITUTE(SUBSTITUTE(SUBSTITUTE(Table2467[[#This Row],[Standard Attributes List]]," ",""),".",""),"-","")</f>
        <v>SETTINGPRESSURE1STSHEAR(PSI)</v>
      </c>
      <c r="C46" s="3" t="s">
        <v>391</v>
      </c>
      <c r="D46" s="3" t="str">
        <f>SUBSTITUTE(SUBSTITUTE(SUBSTITUTE(LEFT(Table2467[[#This Row],[Reference]],FIND("=",Table2467[[#This Row],[Reference]])-2)," ",""),".",""),"-","")</f>
        <v>SETTINGPRESSURE1STSHEAR(PSI)</v>
      </c>
      <c r="E46" s="22" t="str">
        <f>TRIM(RIGHT(Table2467[[#This Row],[Reference]],LEN(Table2467[[#This Row],[Reference]])-FIND("=",Table2467[[#This Row],[Reference]])-1))</f>
        <v>1000</v>
      </c>
      <c r="F46" s="3" t="str">
        <f>VLOOKUP(Table2467[[#This Row],[Condensed Value]],D:E,2,FALSE)</f>
        <v>1000</v>
      </c>
      <c r="G46" s="3"/>
      <c r="H46" s="4" t="str">
        <f>CONCATENATE(Table2467[[#This Row],[Standard Attributes List]]," = ",IF(Table2467[[#This Row],[Overwrite Value]]="",Table2467[[#This Row],[Ref. Value]],Table2467[[#This Row],[Overwrite Value]]))</f>
        <v>SETTING PRESSURE 1ST SHEAR (PSI) = 1000</v>
      </c>
      <c r="I46" t="str">
        <f>IF(Table2467[[#This Row],[Reference]]=Table2467[[#This Row],[Output]],"OK","NG")</f>
        <v>OK</v>
      </c>
      <c r="J46" s="2" t="str">
        <f>RIGHT(Table2467[[#This Row],[Output]],LEN(Table2467[[#This Row],[Output]])-FIND("=",Table2467[[#This Row],[Output]])-1)</f>
        <v>1000</v>
      </c>
      <c r="K46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6" s="11"/>
      <c r="N46" s="11"/>
    </row>
    <row r="47" spans="1:14" ht="16" thickTop="1" thickBot="1">
      <c r="A47" s="7" t="s">
        <v>109</v>
      </c>
      <c r="B47" s="2" t="str">
        <f>SUBSTITUTE(SUBSTITUTE(SUBSTITUTE(Table2467[[#This Row],[Standard Attributes List]]," ",""),".",""),"-","")</f>
        <v>SETTINGPRESSURESLIPENGAGEMENT(PSI)</v>
      </c>
      <c r="C47" s="3" t="s">
        <v>392</v>
      </c>
      <c r="D47" s="3" t="str">
        <f>SUBSTITUTE(SUBSTITUTE(SUBSTITUTE(LEFT(Table2467[[#This Row],[Reference]],FIND("=",Table2467[[#This Row],[Reference]])-2)," ",""),".",""),"-","")</f>
        <v>SETTINGPRESSURESLIPENGAGEMENT(PSI)</v>
      </c>
      <c r="E47" s="22" t="str">
        <f>TRIM(RIGHT(Table2467[[#This Row],[Reference]],LEN(Table2467[[#This Row],[Reference]])-FIND("=",Table2467[[#This Row],[Reference]])-1))</f>
        <v>1119</v>
      </c>
      <c r="F47" s="3" t="str">
        <f>VLOOKUP(Table2467[[#This Row],[Condensed Value]],D:E,2,FALSE)</f>
        <v>1119</v>
      </c>
      <c r="G47" s="3"/>
      <c r="H47" s="4" t="str">
        <f>CONCATENATE(Table2467[[#This Row],[Standard Attributes List]]," = ",IF(Table2467[[#This Row],[Overwrite Value]]="",Table2467[[#This Row],[Ref. Value]],Table2467[[#This Row],[Overwrite Value]]))</f>
        <v>SETTING PRESSURE SLIP ENGAGEMENT (PSI) = 1119</v>
      </c>
      <c r="I47" t="str">
        <f>IF(Table2467[[#This Row],[Reference]]=Table2467[[#This Row],[Output]],"OK","NG")</f>
        <v>OK</v>
      </c>
      <c r="J47" s="2" t="str">
        <f>RIGHT(Table2467[[#This Row],[Output]],LEN(Table2467[[#This Row],[Output]])-FIND("=",Table2467[[#This Row],[Output]])-1)</f>
        <v>1119</v>
      </c>
      <c r="K47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7" s="11"/>
      <c r="N47" s="11"/>
    </row>
    <row r="48" spans="1:14" ht="16" thickTop="1" thickBot="1">
      <c r="A48" s="7" t="s">
        <v>224</v>
      </c>
      <c r="B48" s="2" t="str">
        <f>SUBSTITUTE(SUBSTITUTE(SUBSTITUTE(Table2467[[#This Row],[Standard Attributes List]]," ",""),".",""),"-","")</f>
        <v>SHEARRELEASEFORCE(LB)</v>
      </c>
      <c r="C48" s="3" t="s">
        <v>393</v>
      </c>
      <c r="D48" s="3" t="str">
        <f>SUBSTITUTE(SUBSTITUTE(SUBSTITUTE(LEFT(Table2467[[#This Row],[Reference]],FIND("=",Table2467[[#This Row],[Reference]])-2)," ",""),".",""),"-","")</f>
        <v>SHEARRELEASEFORCE(LB)</v>
      </c>
      <c r="E48" s="22" t="str">
        <f>TRIM(RIGHT(Table2467[[#This Row],[Reference]],LEN(Table2467[[#This Row],[Reference]])-FIND("=",Table2467[[#This Row],[Reference]])-1))</f>
        <v>NA</v>
      </c>
      <c r="F48" s="3" t="str">
        <f>VLOOKUP(Table2467[[#This Row],[Condensed Value]],D:E,2,FALSE)</f>
        <v>NA</v>
      </c>
      <c r="G48" s="3"/>
      <c r="H48" s="4" t="str">
        <f>CONCATENATE(Table2467[[#This Row],[Standard Attributes List]]," = ",IF(Table2467[[#This Row],[Overwrite Value]]="",Table2467[[#This Row],[Ref. Value]],Table2467[[#This Row],[Overwrite Value]]))</f>
        <v>SHEAR RELEASE FORCE (LB) = NA</v>
      </c>
      <c r="I48" t="str">
        <f>IF(Table2467[[#This Row],[Reference]]=Table2467[[#This Row],[Output]],"OK","NG")</f>
        <v>OK</v>
      </c>
      <c r="J48" s="2" t="str">
        <f>RIGHT(Table2467[[#This Row],[Output]],LEN(Table2467[[#This Row],[Output]])-FIND("=",Table2467[[#This Row],[Output]])-1)</f>
        <v>NA</v>
      </c>
      <c r="K48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49" spans="1:11" ht="16" thickTop="1" thickBot="1">
      <c r="A49" s="7" t="s">
        <v>13</v>
      </c>
      <c r="B49" s="2" t="str">
        <f>SUBSTITUTE(SUBSTITUTE(SUBSTITUTE(Table2467[[#This Row],[Standard Attributes List]]," ",""),".",""),"-","")</f>
        <v>TENSILESTRENGTH(LBS)EOECATSPECIFIEDTEMP(F)</v>
      </c>
      <c r="C49" s="3" t="s">
        <v>394</v>
      </c>
      <c r="D49" s="3" t="str">
        <f>SUBSTITUTE(SUBSTITUTE(SUBSTITUTE(LEFT(Table2467[[#This Row],[Reference]],FIND("=",Table2467[[#This Row],[Reference]])-2)," ",""),".",""),"-","")</f>
        <v>TENSILESTRENGTH(LBS)EOECATSPECIFIEDTEMP(F)</v>
      </c>
      <c r="E49" s="22" t="str">
        <f>TRIM(RIGHT(Table2467[[#This Row],[Reference]],LEN(Table2467[[#This Row],[Reference]])-FIND("=",Table2467[[#This Row],[Reference]])-1))</f>
        <v>100000[200]</v>
      </c>
      <c r="F49" s="3" t="str">
        <f>VLOOKUP(Table2467[[#This Row],[Condensed Value]],D:E,2,FALSE)</f>
        <v>100000[200]</v>
      </c>
      <c r="G49" s="3"/>
      <c r="H49" s="4" t="str">
        <f>CONCATENATE(Table2467[[#This Row],[Standard Attributes List]]," = ",IF(Table2467[[#This Row],[Overwrite Value]]="",Table2467[[#This Row],[Ref. Value]],Table2467[[#This Row],[Overwrite Value]]))</f>
        <v>TENSILE STRENGTH (LBS) - EOEC AT SPECIFIED TEMP (F) = 100000[200]</v>
      </c>
      <c r="I49" t="str">
        <f>IF(Table2467[[#This Row],[Reference]]=Table2467[[#This Row],[Output]],"OK","NG")</f>
        <v>OK</v>
      </c>
      <c r="J49" s="2" t="str">
        <f>RIGHT(Table2467[[#This Row],[Output]],LEN(Table2467[[#This Row],[Output]])-FIND("=",Table2467[[#This Row],[Output]])-1)</f>
        <v>100000[200]</v>
      </c>
      <c r="K49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50" spans="1:11" ht="16" thickTop="1" thickBot="1">
      <c r="A50" s="7" t="s">
        <v>44</v>
      </c>
      <c r="B50" s="2" t="str">
        <f>SUBSTITUTE(SUBSTITUTE(SUBSTITUTE(Table2467[[#This Row],[Standard Attributes List]]," ",""),".",""),"-","")</f>
        <v>TORQUECAPACITYEOEC(FTLBS)</v>
      </c>
      <c r="C50" s="3" t="s">
        <v>300</v>
      </c>
      <c r="D50" s="3" t="str">
        <f>SUBSTITUTE(SUBSTITUTE(SUBSTITUTE(LEFT(Table2467[[#This Row],[Reference]],FIND("=",Table2467[[#This Row],[Reference]])-2)," ",""),".",""),"-","")</f>
        <v>TORQUECAPACITYEOEC(FTLBS)</v>
      </c>
      <c r="E50" s="22" t="str">
        <f>TRIM(RIGHT(Table2467[[#This Row],[Reference]],LEN(Table2467[[#This Row],[Reference]])-FIND("=",Table2467[[#This Row],[Reference]])-1))</f>
        <v>NA</v>
      </c>
      <c r="F50" s="3" t="str">
        <f>VLOOKUP(Table2467[[#This Row],[Condensed Value]],D:E,2,FALSE)</f>
        <v>NA</v>
      </c>
      <c r="G50" s="3"/>
      <c r="H50" s="4" t="str">
        <f>CONCATENATE(Table2467[[#This Row],[Standard Attributes List]]," = ",IF(Table2467[[#This Row],[Overwrite Value]]="",Table2467[[#This Row],[Ref. Value]],Table2467[[#This Row],[Overwrite Value]]))</f>
        <v>TORQUE CAPACITY - EOEC (FT-LBS) = NA</v>
      </c>
      <c r="I50" t="str">
        <f>IF(Table2467[[#This Row],[Reference]]=Table2467[[#This Row],[Output]],"OK","NG")</f>
        <v>OK</v>
      </c>
      <c r="J50" s="2" t="str">
        <f>RIGHT(Table2467[[#This Row],[Output]],LEN(Table2467[[#This Row],[Output]])-FIND("=",Table2467[[#This Row],[Output]])-1)</f>
        <v>NA</v>
      </c>
      <c r="K50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51" spans="1:11" ht="16" thickTop="1" thickBot="1">
      <c r="A51" s="7" t="s">
        <v>14</v>
      </c>
      <c r="B51" s="2" t="str">
        <f>SUBSTITUTE(SUBSTITUTE(SUBSTITUTE(Table2467[[#This Row],[Standard Attributes List]]," ",""),".",""),"-","")</f>
        <v>UPPERTHREADCONNECTINGSIZE(IN),WT(PPF),TYPE,CONFIG</v>
      </c>
      <c r="C51" s="3" t="s">
        <v>395</v>
      </c>
      <c r="D51" s="3" t="str">
        <f>SUBSTITUTE(SUBSTITUTE(SUBSTITUTE(LEFT(Table2467[[#This Row],[Reference]],FIND("=",Table2467[[#This Row],[Reference]])-2)," ",""),".",""),"-","")</f>
        <v>UPPERTHREADCONNECTINGSIZE(IN),WT(PPF),TYPE,CONFIG</v>
      </c>
      <c r="E51" s="22" t="str">
        <f>TRIM(RIGHT(Table2467[[#This Row],[Reference]],LEN(Table2467[[#This Row],[Reference]])-FIND("=",Table2467[[#This Row],[Reference]])-1))</f>
        <v>4.500, 12.75, TENARIS HYDRIL 3SB, BOX</v>
      </c>
      <c r="F51" s="3" t="str">
        <f>VLOOKUP(Table2467[[#This Row],[Condensed Value]],D:E,2,FALSE)</f>
        <v>4.500, 12.75, TENARIS HYDRIL 3SB, BOX</v>
      </c>
      <c r="G51" s="3"/>
      <c r="H51" s="4" t="str">
        <f>CONCATENATE(Table2467[[#This Row],[Standard Attributes List]]," = ",IF(Table2467[[#This Row],[Overwrite Value]]="",Table2467[[#This Row],[Ref. Value]],Table2467[[#This Row],[Overwrite Value]]))</f>
        <v>UPPER THREAD CONNECTING - SIZE (IN), WT (PPF), TYPE, CONFIG = 4.500, 12.75, TENARIS HYDRIL 3SB, BOX</v>
      </c>
      <c r="I51" t="str">
        <f>IF(Table2467[[#This Row],[Reference]]=Table2467[[#This Row],[Output]],"OK","NG")</f>
        <v>OK</v>
      </c>
      <c r="J51" s="2" t="str">
        <f>RIGHT(Table2467[[#This Row],[Output]],LEN(Table2467[[#This Row],[Output]])-FIND("=",Table2467[[#This Row],[Output]])-1)</f>
        <v>4.500, 12.75, TENARIS HYDRIL 3SB, BOX</v>
      </c>
      <c r="K51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52" spans="1:11" ht="16" thickTop="1" thickBot="1">
      <c r="A52" s="60"/>
      <c r="B52" s="61" t="str">
        <f>SUBSTITUTE(SUBSTITUTE(SUBSTITUTE(Table2467[[#This Row],[Standard Attributes List]]," ",""),".",""),"-","")</f>
        <v/>
      </c>
      <c r="C52" s="62"/>
      <c r="D52" s="63" t="e">
        <f>SUBSTITUTE(SUBSTITUTE(SUBSTITUTE(LEFT(Table2467[[#This Row],[Reference]],FIND("=",Table2467[[#This Row],[Reference]])-2)," ",""),".",""),"-","")</f>
        <v>#VALUE!</v>
      </c>
      <c r="E52" s="64" t="e">
        <f>TRIM(RIGHT(Table2467[[#This Row],[Reference]],LEN(Table2467[[#This Row],[Reference]])-FIND("=",Table2467[[#This Row],[Reference]])-1))</f>
        <v>#VALUE!</v>
      </c>
      <c r="F52" s="63" t="e">
        <f>VLOOKUP(Table2467[[#This Row],[Condensed Value]],D:E,2,FALSE)</f>
        <v>#N/A</v>
      </c>
      <c r="G52" s="62"/>
      <c r="H52" s="65" t="e">
        <f>CONCATENATE(Table2467[[#This Row],[Standard Attributes List]]," = ",IF(Table2467[[#This Row],[Overwrite Value]]="",Table2467[[#This Row],[Ref. Value]],Table2467[[#This Row],[Overwrite Value]]))</f>
        <v>#N/A</v>
      </c>
      <c r="I52" s="66" t="e">
        <f>IF(Table2467[[#This Row],[Reference]]=Table2467[[#This Row],[Output]],"OK","NG")</f>
        <v>#N/A</v>
      </c>
      <c r="J52" s="61" t="e">
        <f>RIGHT(Table2467[[#This Row],[Output]],LEN(Table2467[[#This Row],[Output]])-FIND("=",Table2467[[#This Row],[Output]])-1)</f>
        <v>#N/A</v>
      </c>
      <c r="K52" s="67" t="e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#N/A</v>
      </c>
    </row>
    <row r="53" spans="1:11" ht="15" thickTop="1"/>
  </sheetData>
  <phoneticPr fontId="27" type="noConversion"/>
  <conditionalFormatting sqref="I53:I61">
    <cfRule type="expression" dxfId="7" priority="3">
      <formula>ISERROR($I53)</formula>
    </cfRule>
  </conditionalFormatting>
  <conditionalFormatting sqref="I62:J71">
    <cfRule type="expression" dxfId="6" priority="2">
      <formula>ISERROR($I62)</formula>
    </cfRule>
  </conditionalFormatting>
  <conditionalFormatting sqref="I2:I52">
    <cfRule type="expression" dxfId="5" priority="1">
      <formula>$I2="OK"</formula>
    </cfRule>
  </conditionalFormatting>
  <conditionalFormatting sqref="H2:H52">
    <cfRule type="expression" dxfId="4" priority="8">
      <formula>ISERROR($H2)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E51"/>
  <sheetViews>
    <sheetView zoomScale="115" zoomScaleNormal="115" workbookViewId="0">
      <selection activeCell="B11" sqref="B11"/>
    </sheetView>
  </sheetViews>
  <sheetFormatPr baseColWidth="10" defaultColWidth="8.83203125" defaultRowHeight="14"/>
  <cols>
    <col min="1" max="1" width="22.83203125" customWidth="1"/>
    <col min="2" max="2" width="15" customWidth="1"/>
    <col min="3" max="3" width="13.83203125" customWidth="1"/>
    <col min="4" max="4" width="12.6640625" customWidth="1"/>
  </cols>
  <sheetData>
    <row r="1" spans="1:5" ht="27" thickBot="1">
      <c r="A1" s="50" t="s">
        <v>358</v>
      </c>
      <c r="B1" s="51" t="s">
        <v>359</v>
      </c>
      <c r="C1" s="51" t="s">
        <v>360</v>
      </c>
      <c r="D1" s="51" t="s">
        <v>361</v>
      </c>
    </row>
    <row r="2" spans="1:5" ht="25" thickBot="1">
      <c r="A2" s="52" t="s">
        <v>0</v>
      </c>
      <c r="B2" s="53" t="s">
        <v>446</v>
      </c>
      <c r="C2" s="53" t="s">
        <v>445</v>
      </c>
      <c r="D2" s="53" t="s">
        <v>350</v>
      </c>
      <c r="E2" t="s">
        <v>445</v>
      </c>
    </row>
    <row r="3" spans="1:5" ht="15" thickBot="1">
      <c r="A3" s="52" t="s">
        <v>1</v>
      </c>
      <c r="B3" s="53" t="s">
        <v>447</v>
      </c>
      <c r="C3" s="53" t="s">
        <v>447</v>
      </c>
      <c r="D3" s="54"/>
    </row>
    <row r="4" spans="1:5" ht="15" thickBot="1">
      <c r="A4" s="52" t="s">
        <v>181</v>
      </c>
      <c r="B4" s="55" t="s">
        <v>448</v>
      </c>
      <c r="C4" s="55" t="s">
        <v>448</v>
      </c>
      <c r="D4" s="54"/>
    </row>
    <row r="5" spans="1:5" ht="15" thickBot="1">
      <c r="A5" s="52" t="s">
        <v>15</v>
      </c>
      <c r="B5" s="53" t="s">
        <v>398</v>
      </c>
      <c r="C5" s="53" t="s">
        <v>398</v>
      </c>
      <c r="D5" s="54"/>
    </row>
    <row r="6" spans="1:5" ht="15" thickBot="1">
      <c r="A6" s="52" t="s">
        <v>16</v>
      </c>
      <c r="B6" s="53" t="s">
        <v>396</v>
      </c>
      <c r="C6" s="53" t="s">
        <v>396</v>
      </c>
      <c r="D6" s="54"/>
    </row>
    <row r="7" spans="1:5" ht="15" thickBot="1">
      <c r="A7" s="52" t="s">
        <v>17</v>
      </c>
      <c r="B7" s="53" t="s">
        <v>449</v>
      </c>
      <c r="C7" s="53" t="s">
        <v>449</v>
      </c>
      <c r="D7" s="54"/>
    </row>
    <row r="8" spans="1:5" ht="15" thickBot="1">
      <c r="A8" s="52" t="s">
        <v>36</v>
      </c>
      <c r="B8" s="53" t="s">
        <v>450</v>
      </c>
      <c r="C8" s="53" t="s">
        <v>450</v>
      </c>
      <c r="D8" s="54"/>
    </row>
    <row r="9" spans="1:5" ht="25" thickBot="1">
      <c r="A9" s="52" t="s">
        <v>18</v>
      </c>
      <c r="B9" s="53" t="s">
        <v>412</v>
      </c>
      <c r="C9" s="53" t="s">
        <v>424</v>
      </c>
      <c r="D9" s="54" t="s">
        <v>479</v>
      </c>
      <c r="E9">
        <v>7500</v>
      </c>
    </row>
    <row r="10" spans="1:5" ht="25" thickBot="1">
      <c r="A10" s="52" t="s">
        <v>19</v>
      </c>
      <c r="B10" s="53" t="s">
        <v>411</v>
      </c>
      <c r="C10" s="53" t="s">
        <v>423</v>
      </c>
      <c r="D10" s="53" t="s">
        <v>479</v>
      </c>
      <c r="E10">
        <v>5993</v>
      </c>
    </row>
    <row r="11" spans="1:5" ht="15" thickBot="1">
      <c r="A11" s="52" t="s">
        <v>20</v>
      </c>
      <c r="B11" s="53" t="s">
        <v>411</v>
      </c>
      <c r="C11" s="53" t="s">
        <v>423</v>
      </c>
      <c r="D11" s="54" t="s">
        <v>479</v>
      </c>
      <c r="E11">
        <v>5993</v>
      </c>
    </row>
    <row r="12" spans="1:5" ht="25" thickBot="1">
      <c r="A12" s="52" t="s">
        <v>37</v>
      </c>
      <c r="B12" s="53" t="s">
        <v>412</v>
      </c>
      <c r="C12" s="53" t="s">
        <v>424</v>
      </c>
      <c r="D12" s="54" t="s">
        <v>479</v>
      </c>
      <c r="E12">
        <v>7500</v>
      </c>
    </row>
    <row r="13" spans="1:5" ht="25" thickBot="1">
      <c r="A13" s="52" t="s">
        <v>2</v>
      </c>
      <c r="B13" s="53" t="s">
        <v>451</v>
      </c>
      <c r="C13" s="53" t="s">
        <v>435</v>
      </c>
      <c r="D13" s="53" t="s">
        <v>479</v>
      </c>
      <c r="E13" t="s">
        <v>435</v>
      </c>
    </row>
    <row r="14" spans="1:5" ht="15" thickBot="1">
      <c r="A14" s="52" t="s">
        <v>50</v>
      </c>
      <c r="B14" s="53" t="s">
        <v>452</v>
      </c>
      <c r="C14" s="53" t="s">
        <v>452</v>
      </c>
      <c r="D14" s="54"/>
    </row>
    <row r="15" spans="1:5" ht="15" thickBot="1">
      <c r="A15" s="52" t="s">
        <v>51</v>
      </c>
      <c r="B15" s="53" t="s">
        <v>448</v>
      </c>
      <c r="C15" s="53" t="s">
        <v>448</v>
      </c>
      <c r="D15" s="53"/>
    </row>
    <row r="16" spans="1:5" ht="15" thickBot="1">
      <c r="A16" s="52" t="s">
        <v>52</v>
      </c>
      <c r="B16" s="53" t="s">
        <v>453</v>
      </c>
      <c r="C16" s="53" t="s">
        <v>453</v>
      </c>
      <c r="D16" s="53"/>
    </row>
    <row r="17" spans="1:5" ht="25" thickBot="1">
      <c r="A17" s="52" t="s">
        <v>3</v>
      </c>
      <c r="B17" s="53" t="s">
        <v>454</v>
      </c>
      <c r="C17" s="53" t="s">
        <v>436</v>
      </c>
      <c r="D17" s="54" t="s">
        <v>479</v>
      </c>
      <c r="E17" t="s">
        <v>436</v>
      </c>
    </row>
    <row r="18" spans="1:5" ht="15" thickBot="1">
      <c r="A18" s="52" t="s">
        <v>59</v>
      </c>
      <c r="B18" s="53" t="s">
        <v>102</v>
      </c>
      <c r="C18" s="53" t="s">
        <v>102</v>
      </c>
      <c r="D18" s="53"/>
    </row>
    <row r="19" spans="1:5" ht="25" thickBot="1">
      <c r="A19" s="52" t="s">
        <v>4</v>
      </c>
      <c r="B19" s="53" t="s">
        <v>455</v>
      </c>
      <c r="C19" s="53" t="s">
        <v>455</v>
      </c>
      <c r="D19" s="53"/>
    </row>
    <row r="20" spans="1:5" ht="15" thickBot="1">
      <c r="A20" s="52" t="s">
        <v>53</v>
      </c>
      <c r="B20" s="53" t="s">
        <v>456</v>
      </c>
      <c r="C20" s="53" t="s">
        <v>456</v>
      </c>
      <c r="D20" s="54"/>
    </row>
    <row r="21" spans="1:5" ht="15" thickBot="1">
      <c r="A21" s="52" t="s">
        <v>5</v>
      </c>
      <c r="B21" s="53" t="s">
        <v>457</v>
      </c>
      <c r="C21" s="53" t="s">
        <v>437</v>
      </c>
      <c r="D21" s="54" t="s">
        <v>350</v>
      </c>
      <c r="E21" t="s">
        <v>437</v>
      </c>
    </row>
    <row r="22" spans="1:5" ht="15" thickBot="1">
      <c r="A22" s="52" t="s">
        <v>21</v>
      </c>
      <c r="B22" s="53" t="s">
        <v>457</v>
      </c>
      <c r="C22" s="53" t="s">
        <v>457</v>
      </c>
      <c r="D22" s="54"/>
    </row>
    <row r="23" spans="1:5" ht="15" thickBot="1">
      <c r="A23" s="52" t="s">
        <v>22</v>
      </c>
      <c r="B23" s="53" t="s">
        <v>458</v>
      </c>
      <c r="C23" s="53" t="s">
        <v>458</v>
      </c>
      <c r="D23" s="54"/>
    </row>
    <row r="24" spans="1:5" ht="15" thickBot="1">
      <c r="A24" s="52" t="s">
        <v>23</v>
      </c>
      <c r="B24" s="53" t="s">
        <v>457</v>
      </c>
      <c r="C24" s="53" t="s">
        <v>362</v>
      </c>
      <c r="D24" s="54" t="s">
        <v>350</v>
      </c>
      <c r="E24" t="s">
        <v>362</v>
      </c>
    </row>
    <row r="25" spans="1:5" ht="25" thickBot="1">
      <c r="A25" s="52" t="s">
        <v>38</v>
      </c>
      <c r="B25" s="53" t="s">
        <v>459</v>
      </c>
      <c r="C25" s="53" t="s">
        <v>459</v>
      </c>
      <c r="D25" s="54"/>
    </row>
    <row r="26" spans="1:5" ht="15" thickBot="1">
      <c r="A26" s="52" t="s">
        <v>24</v>
      </c>
      <c r="B26" s="53" t="s">
        <v>399</v>
      </c>
      <c r="C26" s="53" t="s">
        <v>399</v>
      </c>
      <c r="D26" s="54"/>
    </row>
    <row r="27" spans="1:5" ht="15" thickBot="1">
      <c r="A27" s="52" t="s">
        <v>39</v>
      </c>
      <c r="B27" s="53" t="s">
        <v>399</v>
      </c>
      <c r="C27" s="53" t="s">
        <v>399</v>
      </c>
      <c r="D27" s="53"/>
    </row>
    <row r="28" spans="1:5" ht="15" thickBot="1">
      <c r="A28" s="52" t="s">
        <v>6</v>
      </c>
      <c r="B28" s="53" t="s">
        <v>460</v>
      </c>
      <c r="C28" s="53" t="s">
        <v>460</v>
      </c>
      <c r="D28" s="53"/>
    </row>
    <row r="29" spans="1:5" ht="15" thickBot="1">
      <c r="A29" s="52" t="s">
        <v>7</v>
      </c>
      <c r="B29" s="53" t="s">
        <v>461</v>
      </c>
      <c r="C29" s="53" t="s">
        <v>461</v>
      </c>
      <c r="D29" s="53"/>
    </row>
    <row r="30" spans="1:5" ht="15" thickBot="1">
      <c r="A30" s="52" t="s">
        <v>8</v>
      </c>
      <c r="B30" s="53" t="s">
        <v>400</v>
      </c>
      <c r="C30" s="53" t="s">
        <v>400</v>
      </c>
      <c r="D30" s="53"/>
    </row>
    <row r="31" spans="1:5" ht="15" thickBot="1">
      <c r="A31" s="52" t="s">
        <v>9</v>
      </c>
      <c r="B31" s="53" t="s">
        <v>462</v>
      </c>
      <c r="C31" s="53" t="s">
        <v>462</v>
      </c>
      <c r="D31" s="53"/>
    </row>
    <row r="32" spans="1:5" ht="15" thickBot="1">
      <c r="A32" s="52" t="s">
        <v>40</v>
      </c>
      <c r="B32" s="53" t="s">
        <v>463</v>
      </c>
      <c r="C32" s="53" t="s">
        <v>463</v>
      </c>
      <c r="D32" s="53"/>
    </row>
    <row r="33" spans="1:5" ht="15" thickBot="1">
      <c r="A33" s="52" t="s">
        <v>10</v>
      </c>
      <c r="B33" s="53" t="s">
        <v>464</v>
      </c>
      <c r="C33" s="53" t="s">
        <v>464</v>
      </c>
      <c r="D33" s="53"/>
    </row>
    <row r="34" spans="1:5" ht="49" thickBot="1">
      <c r="A34" s="52" t="s">
        <v>25</v>
      </c>
      <c r="B34" s="53" t="s">
        <v>465</v>
      </c>
      <c r="C34" s="53" t="s">
        <v>438</v>
      </c>
      <c r="D34" s="53" t="s">
        <v>479</v>
      </c>
      <c r="E34" t="s">
        <v>438</v>
      </c>
    </row>
    <row r="35" spans="1:5" ht="37" thickBot="1">
      <c r="A35" s="52" t="s">
        <v>26</v>
      </c>
      <c r="B35" s="53" t="s">
        <v>466</v>
      </c>
      <c r="C35" s="53" t="s">
        <v>439</v>
      </c>
      <c r="D35" s="53" t="s">
        <v>479</v>
      </c>
      <c r="E35" t="s">
        <v>439</v>
      </c>
    </row>
    <row r="36" spans="1:5" ht="49" thickBot="1">
      <c r="A36" s="52" t="s">
        <v>27</v>
      </c>
      <c r="B36" s="53" t="s">
        <v>467</v>
      </c>
      <c r="C36" s="53" t="s">
        <v>440</v>
      </c>
      <c r="D36" s="53" t="s">
        <v>479</v>
      </c>
      <c r="E36" t="s">
        <v>440</v>
      </c>
    </row>
    <row r="37" spans="1:5" ht="37" thickBot="1">
      <c r="A37" s="52" t="s">
        <v>28</v>
      </c>
      <c r="B37" s="53" t="s">
        <v>468</v>
      </c>
      <c r="C37" s="53" t="s">
        <v>441</v>
      </c>
      <c r="D37" s="53" t="s">
        <v>479</v>
      </c>
      <c r="E37" t="s">
        <v>441</v>
      </c>
    </row>
    <row r="38" spans="1:5" ht="49" thickBot="1">
      <c r="A38" s="52" t="s">
        <v>29</v>
      </c>
      <c r="B38" s="53" t="s">
        <v>469</v>
      </c>
      <c r="C38" s="53" t="s">
        <v>442</v>
      </c>
      <c r="D38" s="53" t="s">
        <v>479</v>
      </c>
      <c r="E38" t="s">
        <v>442</v>
      </c>
    </row>
    <row r="39" spans="1:5" ht="25" thickBot="1">
      <c r="A39" s="52" t="s">
        <v>30</v>
      </c>
      <c r="B39" s="53" t="s">
        <v>470</v>
      </c>
      <c r="C39" s="53" t="s">
        <v>443</v>
      </c>
      <c r="D39" s="53" t="s">
        <v>479</v>
      </c>
      <c r="E39" t="s">
        <v>443</v>
      </c>
    </row>
    <row r="40" spans="1:5" ht="15" thickBot="1">
      <c r="A40" s="52" t="s">
        <v>41</v>
      </c>
      <c r="B40" s="53" t="s">
        <v>57</v>
      </c>
      <c r="C40" s="53" t="s">
        <v>57</v>
      </c>
      <c r="D40" s="53"/>
    </row>
    <row r="41" spans="1:5" ht="15" thickBot="1">
      <c r="A41" s="52" t="s">
        <v>11</v>
      </c>
      <c r="B41" s="53" t="s">
        <v>105</v>
      </c>
      <c r="C41" s="53" t="s">
        <v>105</v>
      </c>
      <c r="D41" s="53"/>
    </row>
    <row r="42" spans="1:5" ht="15" thickBot="1">
      <c r="A42" s="52" t="s">
        <v>42</v>
      </c>
      <c r="B42" s="53" t="s">
        <v>471</v>
      </c>
      <c r="C42" s="53" t="s">
        <v>471</v>
      </c>
      <c r="D42" s="53"/>
    </row>
    <row r="43" spans="1:5" ht="15" thickBot="1">
      <c r="A43" s="52" t="s">
        <v>31</v>
      </c>
      <c r="B43" s="53" t="s">
        <v>448</v>
      </c>
      <c r="C43" s="53" t="s">
        <v>448</v>
      </c>
      <c r="D43" s="53"/>
    </row>
    <row r="44" spans="1:5" ht="15" thickBot="1">
      <c r="A44" s="52" t="s">
        <v>12</v>
      </c>
      <c r="B44" s="53" t="s">
        <v>472</v>
      </c>
      <c r="C44" s="53" t="s">
        <v>107</v>
      </c>
      <c r="D44" s="53" t="s">
        <v>350</v>
      </c>
      <c r="E44" t="s">
        <v>107</v>
      </c>
    </row>
    <row r="45" spans="1:5" ht="25" thickBot="1">
      <c r="A45" s="52" t="s">
        <v>32</v>
      </c>
      <c r="B45" s="53" t="s">
        <v>473</v>
      </c>
      <c r="C45" s="53" t="s">
        <v>473</v>
      </c>
      <c r="D45" s="53"/>
    </row>
    <row r="46" spans="1:5" ht="37" thickBot="1">
      <c r="A46" s="52" t="s">
        <v>221</v>
      </c>
      <c r="B46" s="53" t="s">
        <v>474</v>
      </c>
      <c r="C46" s="53" t="s">
        <v>474</v>
      </c>
      <c r="D46" s="53"/>
    </row>
    <row r="47" spans="1:5" ht="15" thickBot="1">
      <c r="A47" s="52" t="s">
        <v>43</v>
      </c>
      <c r="B47" s="53" t="s">
        <v>450</v>
      </c>
      <c r="C47" s="53" t="s">
        <v>450</v>
      </c>
      <c r="D47" s="53"/>
    </row>
    <row r="48" spans="1:5" ht="15" thickBot="1">
      <c r="A48" s="52" t="s">
        <v>224</v>
      </c>
      <c r="B48" s="53" t="s">
        <v>475</v>
      </c>
      <c r="C48" s="53" t="s">
        <v>475</v>
      </c>
      <c r="D48" s="53"/>
    </row>
    <row r="49" spans="1:5" ht="25" thickBot="1">
      <c r="A49" s="52" t="s">
        <v>13</v>
      </c>
      <c r="B49" s="53" t="s">
        <v>476</v>
      </c>
      <c r="C49" s="53" t="s">
        <v>444</v>
      </c>
      <c r="D49" s="53" t="s">
        <v>479</v>
      </c>
      <c r="E49" t="s">
        <v>444</v>
      </c>
    </row>
    <row r="50" spans="1:5" ht="15" thickBot="1">
      <c r="A50" s="52" t="s">
        <v>44</v>
      </c>
      <c r="B50" s="53" t="s">
        <v>477</v>
      </c>
      <c r="C50" s="53" t="s">
        <v>477</v>
      </c>
      <c r="D50" s="53"/>
    </row>
    <row r="51" spans="1:5" ht="25" thickBot="1">
      <c r="A51" s="52" t="s">
        <v>14</v>
      </c>
      <c r="B51" s="53" t="s">
        <v>478</v>
      </c>
      <c r="C51" s="53" t="s">
        <v>478</v>
      </c>
      <c r="D51" s="53"/>
    </row>
  </sheetData>
  <phoneticPr fontId="2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fresh">
                <anchor moveWithCells="1" sizeWithCells="1">
                  <from>
                    <xdr:col>5</xdr:col>
                    <xdr:colOff>406400</xdr:colOff>
                    <xdr:row>1</xdr:row>
                    <xdr:rowOff>228600</xdr:rowOff>
                  </from>
                  <to>
                    <xdr:col>7</xdr:col>
                    <xdr:colOff>266700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D28"/>
  <sheetViews>
    <sheetView zoomScale="115" zoomScaleNormal="115" workbookViewId="0">
      <selection activeCell="B11" sqref="B11"/>
    </sheetView>
  </sheetViews>
  <sheetFormatPr baseColWidth="10" defaultColWidth="8.83203125" defaultRowHeight="14"/>
  <cols>
    <col min="1" max="1" width="38.83203125" bestFit="1" customWidth="1"/>
    <col min="2" max="2" width="7.5" bestFit="1" customWidth="1"/>
    <col min="3" max="3" width="36.1640625" bestFit="1" customWidth="1"/>
    <col min="4" max="4" width="16.1640625" bestFit="1" customWidth="1"/>
  </cols>
  <sheetData>
    <row r="1" spans="1:4">
      <c r="A1" s="56" t="s">
        <v>363</v>
      </c>
      <c r="B1" s="57"/>
      <c r="C1" s="56" t="s">
        <v>364</v>
      </c>
      <c r="D1" s="57"/>
    </row>
    <row r="2" spans="1:4">
      <c r="A2" s="57" t="s">
        <v>15</v>
      </c>
      <c r="B2" s="58" t="str">
        <f>VLOOKUP(A2,MRP!A:J,10,FALSE)</f>
        <v>7</v>
      </c>
      <c r="C2" s="57" t="s">
        <v>17</v>
      </c>
      <c r="D2" s="58" t="str">
        <f>VLOOKUP(C2,MRP!A:J,10,FALSE)</f>
        <v>ISO-V3[100-200F]</v>
      </c>
    </row>
    <row r="3" spans="1:4">
      <c r="A3" s="57" t="s">
        <v>16</v>
      </c>
      <c r="B3" s="58" t="str">
        <f>VLOOKUP(A3,MRP!A:J,10,FALSE)</f>
        <v>26-29</v>
      </c>
      <c r="C3" s="57" t="s">
        <v>41</v>
      </c>
      <c r="D3" s="58" t="str">
        <f>VLOOKUP(C3,MRP!A:J,10,FALSE)</f>
        <v>Q3</v>
      </c>
    </row>
    <row r="4" spans="1:4">
      <c r="A4" s="57" t="s">
        <v>50</v>
      </c>
      <c r="B4" s="58" t="str">
        <f>VLOOKUP(A4,MRP!A:J,10,FALSE)</f>
        <v>3.833</v>
      </c>
      <c r="C4" s="57" t="s">
        <v>11</v>
      </c>
      <c r="D4" s="58" t="str">
        <f>VLOOKUP(C4,MRP!A:J,10,FALSE)</f>
        <v>STD SLB</v>
      </c>
    </row>
    <row r="5" spans="1:4">
      <c r="A5" s="57" t="s">
        <v>51</v>
      </c>
      <c r="B5" s="58" t="str">
        <f>VLOOKUP(A5,MRP!A:J,10,FALSE)</f>
        <v>3.910</v>
      </c>
      <c r="C5" s="57"/>
      <c r="D5" s="57"/>
    </row>
    <row r="6" spans="1:4">
      <c r="A6" s="57" t="s">
        <v>59</v>
      </c>
      <c r="B6" s="58" t="e">
        <f>VLOOKUP(A6,MRP!A:J,10,FALSE)</f>
        <v>#N/A</v>
      </c>
      <c r="C6" s="56" t="s">
        <v>365</v>
      </c>
      <c r="D6" s="57"/>
    </row>
    <row r="7" spans="1:4" ht="22">
      <c r="A7" s="57" t="s">
        <v>53</v>
      </c>
      <c r="B7" s="58" t="str">
        <f>VLOOKUP(A7,MRP!A:J,10,FALSE)</f>
        <v>90</v>
      </c>
      <c r="C7" s="57" t="s">
        <v>0</v>
      </c>
      <c r="D7" s="58" t="str">
        <f>VLOOKUP(C7,MRP!A:J,10,FALSE)</f>
        <v>SUPER 13CR[95]</v>
      </c>
    </row>
    <row r="8" spans="1:4">
      <c r="A8" s="57" t="s">
        <v>8</v>
      </c>
      <c r="B8" s="58" t="str">
        <f>VLOOKUP(A8,MRP!A:J,10,FALSE)</f>
        <v>6.000</v>
      </c>
      <c r="C8" s="57" t="s">
        <v>5</v>
      </c>
      <c r="D8" s="58" t="str">
        <f>VLOOKUP(C8,MRP!A:J,10,FALSE)</f>
        <v>VITON, HNBR</v>
      </c>
    </row>
    <row r="9" spans="1:4">
      <c r="A9" s="57" t="s">
        <v>10</v>
      </c>
      <c r="B9" s="58" t="str">
        <f>VLOOKUP(A9,MRP!A:J,10,FALSE)</f>
        <v>92</v>
      </c>
      <c r="C9" s="57" t="s">
        <v>21</v>
      </c>
      <c r="D9" s="58" t="str">
        <f>VLOOKUP(C9,MRP!A:J,10,FALSE)</f>
        <v>HNBR</v>
      </c>
    </row>
    <row r="10" spans="1:4">
      <c r="A10" s="57" t="s">
        <v>31</v>
      </c>
      <c r="B10" s="58" t="str">
        <f>VLOOKUP(A10,MRP!A:J,10,FALSE)</f>
        <v>NA</v>
      </c>
      <c r="C10" s="57" t="s">
        <v>22</v>
      </c>
      <c r="D10" s="58" t="str">
        <f>VLOOKUP(C10,MRP!A:J,10,FALSE)</f>
        <v>4130/4140, 8620, 925</v>
      </c>
    </row>
    <row r="11" spans="1:4">
      <c r="A11" s="57"/>
      <c r="B11" s="57"/>
      <c r="C11" s="57" t="s">
        <v>23</v>
      </c>
      <c r="D11" s="58" t="str">
        <f>VLOOKUP(C11,MRP!A:J,10,FALSE)</f>
        <v>VITON</v>
      </c>
    </row>
    <row r="12" spans="1:4">
      <c r="A12" s="56" t="s">
        <v>366</v>
      </c>
      <c r="B12" s="57"/>
      <c r="C12" s="57" t="s">
        <v>12</v>
      </c>
      <c r="D12" s="58" t="str">
        <f>VLOOKUP(C12,MRP!A:J,10,FALSE)</f>
        <v>YES</v>
      </c>
    </row>
    <row r="13" spans="1:4">
      <c r="A13" s="57" t="s">
        <v>18</v>
      </c>
      <c r="B13" s="57" t="str">
        <f>VLOOKUP(A13,MRP!A:J,10,FALSE)</f>
        <v>5000</v>
      </c>
      <c r="C13" s="57"/>
      <c r="D13" s="57"/>
    </row>
    <row r="14" spans="1:4">
      <c r="A14" s="57" t="s">
        <v>19</v>
      </c>
      <c r="B14" s="57" t="str">
        <f>VLOOKUP(A14,MRP!A:J,10,FALSE)</f>
        <v>NA</v>
      </c>
      <c r="C14" s="56" t="s">
        <v>367</v>
      </c>
      <c r="D14" s="57"/>
    </row>
    <row r="15" spans="1:4">
      <c r="A15" s="57" t="s">
        <v>20</v>
      </c>
      <c r="B15" s="57" t="str">
        <f>VLOOKUP(A15,MRP!A:J,10,FALSE)</f>
        <v>NA</v>
      </c>
      <c r="C15" s="57" t="s">
        <v>36</v>
      </c>
      <c r="D15" s="58" t="str">
        <f>VLOOKUP(C15,MRP!A:J,10,FALSE)</f>
        <v>TUBING</v>
      </c>
    </row>
    <row r="16" spans="1:4">
      <c r="A16" s="57" t="s">
        <v>37</v>
      </c>
      <c r="B16" s="57" t="str">
        <f>VLOOKUP(A16,MRP!A:J,10,FALSE)</f>
        <v>NA</v>
      </c>
      <c r="C16" s="57" t="s">
        <v>38</v>
      </c>
      <c r="D16" s="58" t="str">
        <f>VLOOKUP(C16,MRP!A:J,10,FALSE)</f>
        <v>NA</v>
      </c>
    </row>
    <row r="17" spans="1:4" ht="22">
      <c r="A17" s="57" t="s">
        <v>2</v>
      </c>
      <c r="B17" s="57" t="str">
        <f>VLOOKUP(A17,MRP!A:J,10,FALSE)</f>
        <v>5000[200]</v>
      </c>
      <c r="C17" s="57" t="s">
        <v>39</v>
      </c>
      <c r="D17" s="58" t="str">
        <f>VLOOKUP(C17,MRP!A:J,10,FALSE)</f>
        <v>NA</v>
      </c>
    </row>
    <row r="18" spans="1:4" ht="22">
      <c r="A18" s="57" t="s">
        <v>3</v>
      </c>
      <c r="B18" s="57" t="str">
        <f>VLOOKUP(A18,MRP!A:J,10,FALSE)</f>
        <v>5000[200]</v>
      </c>
      <c r="C18" s="57" t="s">
        <v>40</v>
      </c>
      <c r="D18" s="58" t="str">
        <f>VLOOKUP(C18,MRP!A:J,10,FALSE)</f>
        <v>NA</v>
      </c>
    </row>
    <row r="19" spans="1:4">
      <c r="A19" s="57"/>
      <c r="B19" s="57"/>
      <c r="C19" s="57" t="s">
        <v>42</v>
      </c>
      <c r="D19" s="58" t="str">
        <f>VLOOKUP(C19,MRP!A:J,10,FALSE)</f>
        <v>CUT-TO-RELEASE</v>
      </c>
    </row>
    <row r="20" spans="1:4" ht="22">
      <c r="A20" s="56" t="s">
        <v>368</v>
      </c>
      <c r="B20" s="57"/>
      <c r="C20" s="57" t="s">
        <v>32</v>
      </c>
      <c r="D20" s="58" t="str">
        <f>VLOOKUP(C20,MRP!A:J,10,FALSE)</f>
        <v>3500</v>
      </c>
    </row>
    <row r="21" spans="1:4">
      <c r="A21" s="57" t="s">
        <v>24</v>
      </c>
      <c r="B21" s="57" t="str">
        <f>VLOOKUP(A21,MRP!A:J,10,FALSE)</f>
        <v>100</v>
      </c>
      <c r="C21" s="57" t="s">
        <v>43</v>
      </c>
      <c r="D21" s="58" t="str">
        <f>VLOOKUP(C21,MRP!A:J,10,FALSE)</f>
        <v>HYDRAULIC</v>
      </c>
    </row>
    <row r="22" spans="1:4">
      <c r="A22" s="57" t="s">
        <v>6</v>
      </c>
      <c r="B22" s="57" t="str">
        <f>VLOOKUP(A22,MRP!A:J,10,FALSE)</f>
        <v>200</v>
      </c>
      <c r="C22" s="57" t="s">
        <v>108</v>
      </c>
      <c r="D22" s="58" t="str">
        <f>VLOOKUP(C22,MRP!A:J,10,FALSE)</f>
        <v>1000</v>
      </c>
    </row>
    <row r="23" spans="1:4">
      <c r="A23" s="57" t="s">
        <v>7</v>
      </c>
      <c r="B23" s="57" t="str">
        <f>VLOOKUP(A23,MRP!A:J,10,FALSE)</f>
        <v>100</v>
      </c>
      <c r="C23" s="57" t="s">
        <v>109</v>
      </c>
      <c r="D23" s="58" t="str">
        <f>VLOOKUP(C23,MRP!A:J,10,FALSE)</f>
        <v>1119</v>
      </c>
    </row>
    <row r="24" spans="1:4">
      <c r="A24" s="57"/>
      <c r="B24" s="57"/>
      <c r="C24" s="57" t="s">
        <v>224</v>
      </c>
      <c r="D24" s="58" t="str">
        <f>VLOOKUP(C24,MRP!A:J,10,FALSE)</f>
        <v>NA</v>
      </c>
    </row>
    <row r="25" spans="1:4">
      <c r="A25" s="56" t="s">
        <v>369</v>
      </c>
      <c r="B25" s="57"/>
      <c r="C25" s="57"/>
      <c r="D25" s="57"/>
    </row>
    <row r="26" spans="1:4">
      <c r="A26" s="57" t="s">
        <v>13</v>
      </c>
      <c r="B26" s="57" t="str">
        <f>VLOOKUP(A26,MRP!A:J,10,FALSE)</f>
        <v>100000[200]</v>
      </c>
      <c r="C26" s="56" t="s">
        <v>370</v>
      </c>
      <c r="D26" s="57"/>
    </row>
    <row r="27" spans="1:4" ht="22">
      <c r="A27" s="57" t="s">
        <v>44</v>
      </c>
      <c r="B27" s="57" t="str">
        <f>VLOOKUP(A27,MRP!A:J,10,FALSE)</f>
        <v>NA</v>
      </c>
      <c r="C27" s="57" t="s">
        <v>4</v>
      </c>
      <c r="D27" s="58" t="str">
        <f>VLOOKUP(C27,MRP!A:J,10,FALSE)</f>
        <v>4.500, 12.75, TENARIS HYDRIL 3SB, PIN</v>
      </c>
    </row>
    <row r="28" spans="1:4" ht="22">
      <c r="A28" s="57"/>
      <c r="B28" s="57"/>
      <c r="C28" s="57" t="s">
        <v>14</v>
      </c>
      <c r="D28" s="58" t="str">
        <f>VLOOKUP(C28,MRP!A:J,10,FALSE)</f>
        <v>4.500, 12.75, TENARIS HYDRIL 3SB, BOX</v>
      </c>
    </row>
  </sheetData>
  <phoneticPr fontId="27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N52"/>
  <sheetViews>
    <sheetView topLeftCell="A10" zoomScale="55" zoomScaleNormal="55" workbookViewId="0">
      <selection activeCell="B11" sqref="B11"/>
    </sheetView>
  </sheetViews>
  <sheetFormatPr baseColWidth="10" defaultColWidth="8.83203125" defaultRowHeight="14"/>
  <cols>
    <col min="1" max="1" width="62.83203125" customWidth="1"/>
    <col min="2" max="2" width="58.1640625" hidden="1" customWidth="1"/>
    <col min="3" max="3" width="27" customWidth="1"/>
    <col min="4" max="4" width="86.33203125" hidden="1" customWidth="1"/>
    <col min="5" max="5" width="36.6640625" hidden="1" customWidth="1"/>
    <col min="6" max="6" width="32.1640625" customWidth="1"/>
    <col min="7" max="7" width="25.33203125" bestFit="1" customWidth="1"/>
    <col min="8" max="8" width="85.1640625" bestFit="1" customWidth="1"/>
    <col min="9" max="9" width="23" customWidth="1"/>
    <col min="10" max="10" width="26.5" bestFit="1" customWidth="1"/>
    <col min="14" max="14" width="11" customWidth="1"/>
  </cols>
  <sheetData>
    <row r="1" spans="1:11" ht="15" thickBot="1">
      <c r="A1" s="5" t="s">
        <v>34</v>
      </c>
      <c r="B1" s="1" t="s">
        <v>54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6" thickTop="1" thickBot="1">
      <c r="A2" s="7" t="s">
        <v>0</v>
      </c>
      <c r="B2" s="2" t="str">
        <f>SUBSTITUTE(SUBSTITUTE(SUBSTITUTE(Table2489[[#This Row],[Standard Attributes List]]," ",""),".",""),"-","")</f>
        <v>ACTIVEFLOWWETTEDMATERIALYIELDSTRENGTH(KSI)</v>
      </c>
      <c r="C2" s="3" t="s">
        <v>482</v>
      </c>
      <c r="D2" s="3" t="str">
        <f>SUBSTITUTE(SUBSTITUTE(SUBSTITUTE(LEFT(Table2489[[#This Row],[Reference]],FIND("=",Table2489[[#This Row],[Reference]])-2)," ",""),".",""),"-","")</f>
        <v>ACTIVEFLOWWETTEDMATERIALYIELDSTRENGTH(KSI)</v>
      </c>
      <c r="E2" s="3" t="str">
        <f>TRIM(RIGHT(Table2489[[#This Row],[Reference]],LEN(Table2489[[#This Row],[Reference]])-FIND("=",Table2489[[#This Row],[Reference]])-1))</f>
        <v>41XX[80]</v>
      </c>
      <c r="F2" s="3" t="str">
        <f>VLOOKUP(Table2489[[#This Row],[Column1]],D:E,2,FALSE)</f>
        <v>41XX[80]</v>
      </c>
      <c r="G2" s="3"/>
      <c r="H2" s="4" t="str">
        <f>CONCATENATE(Table2489[[#This Row],[Standard Attributes List]]," = ",IF(Table2489[[#This Row],[Overwrite Value]]="",Table2489[[#This Row],[Ref. Value]],Table2489[[#This Row],[Overwrite Value]]))</f>
        <v>ACTIVE FLOW WETTED MATERIAL - YIELD STRENGTH (KSI) = 41XX[80]</v>
      </c>
      <c r="I2" t="str">
        <f>IF(Table2489[[#This Row],[Reference]]=Table2489[[#This Row],[Output]],"OK","NG")</f>
        <v>OK</v>
      </c>
      <c r="J2" s="2" t="str">
        <f>RIGHT(Table2489[[#This Row],[Output]],LEN(Table2489[[#This Row],[Output]])-FIND("=",Table2489[[#This Row],[Output]])-1)</f>
        <v>41XX[80]</v>
      </c>
      <c r="K2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" spans="1:11" ht="16" thickTop="1" thickBot="1">
      <c r="A3" s="7" t="s">
        <v>1</v>
      </c>
      <c r="B3" s="2" t="str">
        <f>SUBSTITUTE(SUBSTITUTE(SUBSTITUTE(Table2489[[#This Row],[Standard Attributes List]]," ",""),".",""),"-","")</f>
        <v>APPROXIMATEWEIGHT(LBS)</v>
      </c>
      <c r="C3" s="3" t="s">
        <v>483</v>
      </c>
      <c r="D3" s="3" t="str">
        <f>SUBSTITUTE(SUBSTITUTE(SUBSTITUTE(LEFT(Table2489[[#This Row],[Reference]],FIND("=",Table2489[[#This Row],[Reference]])-2)," ",""),".",""),"-","")</f>
        <v>APPROXIMATEWEIGHT(LBS)</v>
      </c>
      <c r="E3" s="3" t="str">
        <f>TRIM(RIGHT(Table2489[[#This Row],[Reference]],LEN(Table2489[[#This Row],[Reference]])-FIND("=",Table2489[[#This Row],[Reference]])-1))</f>
        <v>200</v>
      </c>
      <c r="F3" s="3" t="str">
        <f>VLOOKUP(Table2489[[#This Row],[Column1]],D:E,2,FALSE)</f>
        <v>200</v>
      </c>
      <c r="G3" s="3"/>
      <c r="H3" s="4" t="str">
        <f>CONCATENATE(Table2489[[#This Row],[Standard Attributes List]]," = ",IF(Table2489[[#This Row],[Overwrite Value]]="",Table2489[[#This Row],[Ref. Value]],Table2489[[#This Row],[Overwrite Value]]))</f>
        <v>APPROXIMATE WEIGHT (LBS) = 200</v>
      </c>
      <c r="I3" t="str">
        <f>IF(Table2489[[#This Row],[Reference]]=Table2489[[#This Row],[Output]],"OK","NG")</f>
        <v>OK</v>
      </c>
      <c r="J3" s="2" t="str">
        <f>RIGHT(Table2489[[#This Row],[Output]],LEN(Table2489[[#This Row],[Output]])-FIND("=",Table2489[[#This Row],[Output]])-1)</f>
        <v>200</v>
      </c>
      <c r="K3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4" spans="1:11" ht="16" thickTop="1" thickBot="1">
      <c r="A4" s="7" t="s">
        <v>15</v>
      </c>
      <c r="B4" s="2" t="str">
        <f>SUBSTITUTE(SUBSTITUTE(SUBSTITUTE(Table2489[[#This Row],[Standard Attributes List]]," ",""),".",""),"-","")</f>
        <v>CASINGSIZE(IN)</v>
      </c>
      <c r="C4" s="3" t="s">
        <v>66</v>
      </c>
      <c r="D4" s="3" t="str">
        <f>SUBSTITUTE(SUBSTITUTE(SUBSTITUTE(LEFT(Table2489[[#This Row],[Reference]],FIND("=",Table2489[[#This Row],[Reference]])-2)," ",""),".",""),"-","")</f>
        <v>CASINGSIZE(IN)</v>
      </c>
      <c r="E4" s="3" t="str">
        <f>TRIM(RIGHT(Table2489[[#This Row],[Reference]],LEN(Table2489[[#This Row],[Reference]])-FIND("=",Table2489[[#This Row],[Reference]])-1))</f>
        <v>7</v>
      </c>
      <c r="F4" s="3" t="str">
        <f>VLOOKUP(Table2489[[#This Row],[Column1]],D:E,2,FALSE)</f>
        <v>7</v>
      </c>
      <c r="G4" s="3"/>
      <c r="H4" s="4" t="str">
        <f>CONCATENATE(Table2489[[#This Row],[Standard Attributes List]]," = ",IF(Table2489[[#This Row],[Overwrite Value]]="",Table2489[[#This Row],[Ref. Value]],Table2489[[#This Row],[Overwrite Value]]))</f>
        <v>CASING SIZE (IN) = 7</v>
      </c>
      <c r="I4" t="str">
        <f>IF(Table2489[[#This Row],[Reference]]=Table2489[[#This Row],[Output]],"OK","NG")</f>
        <v>OK</v>
      </c>
      <c r="J4" s="2" t="str">
        <f>RIGHT(Table2489[[#This Row],[Output]],LEN(Table2489[[#This Row],[Output]])-FIND("=",Table2489[[#This Row],[Output]])-1)</f>
        <v>7</v>
      </c>
      <c r="K4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5" spans="1:11" ht="16" thickTop="1" thickBot="1">
      <c r="A5" s="7" t="s">
        <v>16</v>
      </c>
      <c r="B5" s="2" t="str">
        <f>SUBSTITUTE(SUBSTITUTE(SUBSTITUTE(Table2489[[#This Row],[Standard Attributes List]]," ",""),".",""),"-","")</f>
        <v>CASINGWEIGHTRANGE(PPF)</v>
      </c>
      <c r="C5" s="3" t="s">
        <v>484</v>
      </c>
      <c r="D5" s="3" t="str">
        <f>SUBSTITUTE(SUBSTITUTE(SUBSTITUTE(LEFT(Table2489[[#This Row],[Reference]],FIND("=",Table2489[[#This Row],[Reference]])-2)," ",""),".",""),"-","")</f>
        <v>CASINGWEIGHTRANGE(PPF)</v>
      </c>
      <c r="E5" s="3" t="str">
        <f>TRIM(RIGHT(Table2489[[#This Row],[Reference]],LEN(Table2489[[#This Row],[Reference]])-FIND("=",Table2489[[#This Row],[Reference]])-1))</f>
        <v>23-29</v>
      </c>
      <c r="F5" s="3" t="str">
        <f>VLOOKUP(Table2489[[#This Row],[Column1]],D:E,2,FALSE)</f>
        <v>23-29</v>
      </c>
      <c r="G5" s="3"/>
      <c r="H5" s="4" t="str">
        <f>CONCATENATE(Table2489[[#This Row],[Standard Attributes List]]," = ",IF(Table2489[[#This Row],[Overwrite Value]]="",Table2489[[#This Row],[Ref. Value]],Table2489[[#This Row],[Overwrite Value]]))</f>
        <v>CASING WEIGHT RANGE (PPF) = 23-29</v>
      </c>
      <c r="I5" t="str">
        <f>IF(Table2489[[#This Row],[Reference]]=Table2489[[#This Row],[Output]],"OK","NG")</f>
        <v>OK</v>
      </c>
      <c r="J5" s="2" t="str">
        <f>RIGHT(Table2489[[#This Row],[Output]],LEN(Table2489[[#This Row],[Output]])-FIND("=",Table2489[[#This Row],[Output]])-1)</f>
        <v>23-29</v>
      </c>
      <c r="K5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6" spans="1:11" ht="16" thickTop="1" thickBot="1">
      <c r="A6" s="7" t="s">
        <v>17</v>
      </c>
      <c r="B6" s="2" t="str">
        <f>SUBSTITUTE(SUBSTITUTE(SUBSTITUTE(Table2489[[#This Row],[Standard Attributes List]]," ",""),".",""),"-","")</f>
        <v>CERTIFICATIONSTATUS</v>
      </c>
      <c r="C6" s="3" t="s">
        <v>485</v>
      </c>
      <c r="D6" s="3" t="str">
        <f>SUBSTITUTE(SUBSTITUTE(SUBSTITUTE(LEFT(Table2489[[#This Row],[Reference]],FIND("=",Table2489[[#This Row],[Reference]])-2)," ",""),".",""),"-","")</f>
        <v>CERTIFICATIONSTATUS</v>
      </c>
      <c r="E6" s="3" t="str">
        <f>TRIM(RIGHT(Table2489[[#This Row],[Reference]],LEN(Table2489[[#This Row],[Reference]])-FIND("=",Table2489[[#This Row],[Reference]])-1))</f>
        <v>ISO-V3[150-325F]</v>
      </c>
      <c r="F6" s="3" t="str">
        <f>VLOOKUP(Table2489[[#This Row],[Column1]],D:E,2,FALSE)</f>
        <v>ISO-V3[150-325F]</v>
      </c>
      <c r="G6" s="3"/>
      <c r="H6" s="4" t="str">
        <f>CONCATENATE(Table2489[[#This Row],[Standard Attributes List]]," = ",IF(Table2489[[#This Row],[Overwrite Value]]="",Table2489[[#This Row],[Ref. Value]],Table2489[[#This Row],[Overwrite Value]]))</f>
        <v>CERTIFICATION STATUS = ISO-V3[150-325F]</v>
      </c>
      <c r="I6" t="str">
        <f>IF(Table2489[[#This Row],[Reference]]=Table2489[[#This Row],[Output]],"OK","NG")</f>
        <v>OK</v>
      </c>
      <c r="J6" s="2" t="str">
        <f>RIGHT(Table2489[[#This Row],[Output]],LEN(Table2489[[#This Row],[Output]])-FIND("=",Table2489[[#This Row],[Output]])-1)</f>
        <v>ISO-V3[150-325F]</v>
      </c>
      <c r="K6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7" spans="1:11" ht="16" thickTop="1" thickBot="1">
      <c r="A7" s="7" t="s">
        <v>36</v>
      </c>
      <c r="B7" s="2" t="str">
        <f>SUBSTITUTE(SUBSTITUTE(SUBSTITUTE(Table2489[[#This Row],[Standard Attributes List]]," ",""),".",""),"-","")</f>
        <v>CONVEYANCEMETHOD</v>
      </c>
      <c r="C7" s="3" t="s">
        <v>69</v>
      </c>
      <c r="D7" s="3" t="str">
        <f>SUBSTITUTE(SUBSTITUTE(SUBSTITUTE(LEFT(Table2489[[#This Row],[Reference]],FIND("=",Table2489[[#This Row],[Reference]])-2)," ",""),".",""),"-","")</f>
        <v>CONVEYANCEMETHOD</v>
      </c>
      <c r="E7" s="3" t="str">
        <f>TRIM(RIGHT(Table2489[[#This Row],[Reference]],LEN(Table2489[[#This Row],[Reference]])-FIND("=",Table2489[[#This Row],[Reference]])-1))</f>
        <v>TUBING</v>
      </c>
      <c r="F7" s="3" t="str">
        <f>VLOOKUP(Table2489[[#This Row],[Column1]],D:E,2,FALSE)</f>
        <v>TUBING</v>
      </c>
      <c r="G7" s="3"/>
      <c r="H7" s="4" t="str">
        <f>CONCATENATE(Table2489[[#This Row],[Standard Attributes List]]," = ",IF(Table2489[[#This Row],[Overwrite Value]]="",Table2489[[#This Row],[Ref. Value]],Table2489[[#This Row],[Overwrite Value]]))</f>
        <v>CONVEYANCE METHOD = TUBING</v>
      </c>
      <c r="I7" t="str">
        <f>IF(Table2489[[#This Row],[Reference]]=Table2489[[#This Row],[Output]],"OK","NG")</f>
        <v>OK</v>
      </c>
      <c r="J7" s="2" t="str">
        <f>RIGHT(Table2489[[#This Row],[Output]],LEN(Table2489[[#This Row],[Output]])-FIND("=",Table2489[[#This Row],[Output]])-1)</f>
        <v>TUBING</v>
      </c>
      <c r="K7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8" spans="1:11" ht="16" thickTop="1" thickBot="1">
      <c r="A8" s="7" t="s">
        <v>18</v>
      </c>
      <c r="B8" s="2" t="str">
        <f>SUBSTITUTE(SUBSTITUTE(SUBSTITUTE(Table2489[[#This Row],[Standard Attributes List]]," ",""),".",""),"-","")</f>
        <v>DIFFERENTIALPRESSURERATING(PSI)</v>
      </c>
      <c r="C8" s="3" t="s">
        <v>287</v>
      </c>
      <c r="D8" s="3" t="str">
        <f>SUBSTITUTE(SUBSTITUTE(SUBSTITUTE(LEFT(Table2489[[#This Row],[Reference]],FIND("=",Table2489[[#This Row],[Reference]])-2)," ",""),".",""),"-","")</f>
        <v>DIFFERENTIALPRESSURERATING(PSI)</v>
      </c>
      <c r="E8" s="3" t="str">
        <f>TRIM(RIGHT(Table2489[[#This Row],[Reference]],LEN(Table2489[[#This Row],[Reference]])-FIND("=",Table2489[[#This Row],[Reference]])-1))</f>
        <v>5000</v>
      </c>
      <c r="F8" s="3" t="str">
        <f>VLOOKUP(Table2489[[#This Row],[Column1]],D:E,2,FALSE)</f>
        <v>5000</v>
      </c>
      <c r="G8" s="3"/>
      <c r="H8" s="4" t="str">
        <f>CONCATENATE(Table2489[[#This Row],[Standard Attributes List]]," = ",IF(Table2489[[#This Row],[Overwrite Value]]="",Table2489[[#This Row],[Ref. Value]],Table2489[[#This Row],[Overwrite Value]]))</f>
        <v>DIFFERENTIAL PRESSURE RATING (PSI) = 5000</v>
      </c>
      <c r="I8" t="str">
        <f>IF(Table2489[[#This Row],[Reference]]=Table2489[[#This Row],[Output]],"OK","NG")</f>
        <v>OK</v>
      </c>
      <c r="J8" s="2" t="str">
        <f>RIGHT(Table2489[[#This Row],[Output]],LEN(Table2489[[#This Row],[Output]])-FIND("=",Table2489[[#This Row],[Output]])-1)</f>
        <v>5000</v>
      </c>
      <c r="K8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9" spans="1:11" ht="16" thickTop="1" thickBot="1">
      <c r="A9" s="7" t="s">
        <v>19</v>
      </c>
      <c r="B9" s="2" t="str">
        <f>SUBSTITUTE(SUBSTITUTE(SUBSTITUTE(Table2489[[#This Row],[Standard Attributes List]]," ",""),".",""),"-","")</f>
        <v>DIFFERENTIALRATINGISOLATED(PSI)</v>
      </c>
      <c r="C9" s="3" t="s">
        <v>486</v>
      </c>
      <c r="D9" s="3" t="str">
        <f>SUBSTITUTE(SUBSTITUTE(SUBSTITUTE(LEFT(Table2489[[#This Row],[Reference]],FIND("=",Table2489[[#This Row],[Reference]])-2)," ",""),".",""),"-","")</f>
        <v>DIFFERENTIALRATINGISOLATED(PSI)</v>
      </c>
      <c r="E9" s="3" t="str">
        <f>TRIM(RIGHT(Table2489[[#This Row],[Reference]],LEN(Table2489[[#This Row],[Reference]])-FIND("=",Table2489[[#This Row],[Reference]])-1))</f>
        <v>N/A</v>
      </c>
      <c r="F9" s="3" t="str">
        <f>VLOOKUP(Table2489[[#This Row],[Column1]],D:E,2,FALSE)</f>
        <v>N/A</v>
      </c>
      <c r="G9" s="3"/>
      <c r="H9" s="4" t="str">
        <f>CONCATENATE(Table2489[[#This Row],[Standard Attributes List]]," = ",IF(Table2489[[#This Row],[Overwrite Value]]="",Table2489[[#This Row],[Ref. Value]],Table2489[[#This Row],[Overwrite Value]]))</f>
        <v>DIFFERENTIAL RATING ISOLATED (PSI) = N/A</v>
      </c>
      <c r="I9" t="str">
        <f>IF(Table2489[[#This Row],[Reference]]=Table2489[[#This Row],[Output]],"OK","NG")</f>
        <v>OK</v>
      </c>
      <c r="J9" s="2" t="str">
        <f>RIGHT(Table2489[[#This Row],[Output]],LEN(Table2489[[#This Row],[Output]])-FIND("=",Table2489[[#This Row],[Output]])-1)</f>
        <v>N/A</v>
      </c>
      <c r="K9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0" spans="1:11" ht="16" thickTop="1" thickBot="1">
      <c r="A10" s="7" t="s">
        <v>20</v>
      </c>
      <c r="B10" s="2" t="str">
        <f>SUBSTITUTE(SUBSTITUTE(SUBSTITUTE(Table2489[[#This Row],[Standard Attributes List]]," ",""),".",""),"-","")</f>
        <v>DIFFERENTIALRATINGPLUGGED(PSI)</v>
      </c>
      <c r="C10" s="3" t="s">
        <v>487</v>
      </c>
      <c r="D10" s="3" t="str">
        <f>SUBSTITUTE(SUBSTITUTE(SUBSTITUTE(LEFT(Table2489[[#This Row],[Reference]],FIND("=",Table2489[[#This Row],[Reference]])-2)," ",""),".",""),"-","")</f>
        <v>DIFFERENTIALRATINGPLUGGED(PSI)</v>
      </c>
      <c r="E10" s="3" t="str">
        <f>TRIM(RIGHT(Table2489[[#This Row],[Reference]],LEN(Table2489[[#This Row],[Reference]])-FIND("=",Table2489[[#This Row],[Reference]])-1))</f>
        <v>N/A</v>
      </c>
      <c r="F10" s="3" t="str">
        <f>VLOOKUP(Table2489[[#This Row],[Column1]],D:E,2,FALSE)</f>
        <v>N/A</v>
      </c>
      <c r="G10" s="3"/>
      <c r="H10" s="4" t="str">
        <f>CONCATENATE(Table2489[[#This Row],[Standard Attributes List]]," = ",IF(Table2489[[#This Row],[Overwrite Value]]="",Table2489[[#This Row],[Ref. Value]],Table2489[[#This Row],[Overwrite Value]]))</f>
        <v>DIFFERENTIAL RATING PLUGGED (PSI) = N/A</v>
      </c>
      <c r="I10" t="str">
        <f>IF(Table2489[[#This Row],[Reference]]=Table2489[[#This Row],[Output]],"OK","NG")</f>
        <v>OK</v>
      </c>
      <c r="J10" s="2" t="str">
        <f>RIGHT(Table2489[[#This Row],[Output]],LEN(Table2489[[#This Row],[Output]])-FIND("=",Table2489[[#This Row],[Output]])-1)</f>
        <v>N/A</v>
      </c>
      <c r="K10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1" spans="1:11" ht="16" thickTop="1" thickBot="1">
      <c r="A11" s="7" t="s">
        <v>37</v>
      </c>
      <c r="B11" s="2" t="str">
        <f>SUBSTITUTE(SUBSTITUTE(SUBSTITUTE(Table2489[[#This Row],[Standard Attributes List]]," ",""),".",""),"-","")</f>
        <v>DIFFERENTIALRATINGUNPLUGGED(PSI)</v>
      </c>
      <c r="C11" s="3" t="s">
        <v>315</v>
      </c>
      <c r="D11" s="3" t="str">
        <f>SUBSTITUTE(SUBSTITUTE(SUBSTITUTE(LEFT(Table2489[[#This Row],[Reference]],FIND("=",Table2489[[#This Row],[Reference]])-2)," ",""),".",""),"-","")</f>
        <v>DIFFERENTIALRATINGUNPLUGGED(PSI)</v>
      </c>
      <c r="E11" s="3" t="str">
        <f>TRIM(RIGHT(Table2489[[#This Row],[Reference]],LEN(Table2489[[#This Row],[Reference]])-FIND("=",Table2489[[#This Row],[Reference]])-1))</f>
        <v>5000</v>
      </c>
      <c r="F11" s="3" t="str">
        <f>VLOOKUP(Table2489[[#This Row],[Column1]],D:E,2,FALSE)</f>
        <v>5000</v>
      </c>
      <c r="G11" s="6"/>
      <c r="H11" s="4" t="str">
        <f>CONCATENATE(Table2489[[#This Row],[Standard Attributes List]]," = ",IF(Table2489[[#This Row],[Overwrite Value]]="",Table2489[[#This Row],[Ref. Value]],Table2489[[#This Row],[Overwrite Value]]))</f>
        <v>DIFFERENTIAL RATING UNPLUGGED (PSI) = 5000</v>
      </c>
      <c r="I11" t="str">
        <f>IF(Table2489[[#This Row],[Reference]]=Table2489[[#This Row],[Output]],"OK","NG")</f>
        <v>OK</v>
      </c>
      <c r="J11" s="2" t="str">
        <f>RIGHT(Table2489[[#This Row],[Output]],LEN(Table2489[[#This Row],[Output]])-FIND("=",Table2489[[#This Row],[Output]])-1)</f>
        <v>5000</v>
      </c>
      <c r="K11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2" spans="1:11" ht="16" thickTop="1" thickBot="1">
      <c r="A12" s="7" t="s">
        <v>2</v>
      </c>
      <c r="B12" s="2" t="str">
        <f>SUBSTITUTE(SUBSTITUTE(SUBSTITUTE(Table2489[[#This Row],[Standard Attributes List]]," ",""),".",""),"-","")</f>
        <v>EXTERNALWORKINGPRESSURE(PSI)EOECATSPECIFIEDTEMP(F)</v>
      </c>
      <c r="C12" s="3" t="s">
        <v>488</v>
      </c>
      <c r="D12" s="3" t="str">
        <f>SUBSTITUTE(SUBSTITUTE(SUBSTITUTE(LEFT(Table2489[[#This Row],[Reference]],FIND("=",Table2489[[#This Row],[Reference]])-2)," ",""),".",""),"-","")</f>
        <v>EXTERNALWORKINGPRESSURE(PSI)EOECATSPECIFIEDTEMP(F)</v>
      </c>
      <c r="E12" s="3" t="str">
        <f>TRIM(RIGHT(Table2489[[#This Row],[Reference]],LEN(Table2489[[#This Row],[Reference]])-FIND("=",Table2489[[#This Row],[Reference]])-1))</f>
        <v>5000[325]</v>
      </c>
      <c r="F12" s="3" t="str">
        <f>VLOOKUP(Table2489[[#This Row],[Column1]],D:E,2,FALSE)</f>
        <v>5000[325]</v>
      </c>
      <c r="G12" s="3"/>
      <c r="H12" s="4" t="str">
        <f>CONCATENATE(Table2489[[#This Row],[Standard Attributes List]]," = ",IF(Table2489[[#This Row],[Overwrite Value]]="",Table2489[[#This Row],[Ref. Value]],Table2489[[#This Row],[Overwrite Value]]))</f>
        <v>EXTERNAL WORKING PRESSURE (PSI) - EOEC AT SPECIFIED TEMP (F) = 5000[325]</v>
      </c>
      <c r="I12" t="str">
        <f>IF(Table2489[[#This Row],[Reference]]=Table2489[[#This Row],[Output]],"OK","NG")</f>
        <v>OK</v>
      </c>
      <c r="J12" s="2" t="str">
        <f>RIGHT(Table2489[[#This Row],[Output]],LEN(Table2489[[#This Row],[Output]])-FIND("=",Table2489[[#This Row],[Output]])-1)</f>
        <v>5000[325]</v>
      </c>
      <c r="K12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3" spans="1:11" ht="16" thickTop="1" thickBot="1">
      <c r="A13" s="7" t="s">
        <v>52</v>
      </c>
      <c r="B13" s="2" t="str">
        <f>SUBSTITUTE(SUBSTITUTE(SUBSTITUTE(Table2489[[#This Row],[Standard Attributes List]]," ",""),".",""),"-","")</f>
        <v>ID(IN)</v>
      </c>
      <c r="C13" s="3" t="s">
        <v>489</v>
      </c>
      <c r="D13" s="3" t="str">
        <f>SUBSTITUTE(SUBSTITUTE(SUBSTITUTE(LEFT(Table2489[[#This Row],[Reference]],FIND("=",Table2489[[#This Row],[Reference]])-2)," ",""),".",""),"-","")</f>
        <v>ID(IN)</v>
      </c>
      <c r="E13" s="3" t="str">
        <f>TRIM(RIGHT(Table2489[[#This Row],[Reference]],LEN(Table2489[[#This Row],[Reference]])-FIND("=",Table2489[[#This Row],[Reference]])-1))</f>
        <v>2.919</v>
      </c>
      <c r="F13" s="3" t="str">
        <f>VLOOKUP(Table2489[[#This Row],[Column1]],D:E,2,FALSE)</f>
        <v>2.919</v>
      </c>
      <c r="G13" s="3"/>
      <c r="H13" s="4" t="str">
        <f>CONCATENATE(Table2489[[#This Row],[Standard Attributes List]]," = ",IF(Table2489[[#This Row],[Overwrite Value]]="",Table2489[[#This Row],[Ref. Value]],Table2489[[#This Row],[Overwrite Value]]))</f>
        <v>I.D. (IN) = 2.919</v>
      </c>
      <c r="I13" t="str">
        <f>IF(Table2489[[#This Row],[Reference]]=Table2489[[#This Row],[Output]],"OK","NG")</f>
        <v>OK</v>
      </c>
      <c r="J13" s="2" t="str">
        <f>RIGHT(Table2489[[#This Row],[Output]],LEN(Table2489[[#This Row],[Output]])-FIND("=",Table2489[[#This Row],[Output]])-1)</f>
        <v>2.919</v>
      </c>
      <c r="K13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4" spans="1:11" ht="16" thickTop="1" thickBot="1">
      <c r="A14" s="7" t="s">
        <v>50</v>
      </c>
      <c r="B14" s="2" t="str">
        <f>SUBSTITUTE(SUBSTITUTE(SUBSTITUTE(Table2489[[#This Row],[Standard Attributes List]]," ",""),".",""),"-","")</f>
        <v>IDDRIFT(IN)</v>
      </c>
      <c r="C14" s="3" t="s">
        <v>74</v>
      </c>
      <c r="D14" s="3" t="str">
        <f>SUBSTITUTE(SUBSTITUTE(SUBSTITUTE(LEFT(Table2489[[#This Row],[Reference]],FIND("=",Table2489[[#This Row],[Reference]])-2)," ",""),".",""),"-","")</f>
        <v>IDDRIFT(IN)</v>
      </c>
      <c r="E14" s="3" t="str">
        <f>TRIM(RIGHT(Table2489[[#This Row],[Reference]],LEN(Table2489[[#This Row],[Reference]])-FIND("=",Table2489[[#This Row],[Reference]])-1))</f>
        <v>2.867</v>
      </c>
      <c r="F14" s="3" t="str">
        <f>VLOOKUP(Table2489[[#This Row],[Column1]],D:E,2,FALSE)</f>
        <v>2.867</v>
      </c>
      <c r="G14" s="3"/>
      <c r="H14" s="4" t="str">
        <f>CONCATENATE(Table2489[[#This Row],[Standard Attributes List]]," = ",IF(Table2489[[#This Row],[Overwrite Value]]="",Table2489[[#This Row],[Ref. Value]],Table2489[[#This Row],[Overwrite Value]]))</f>
        <v>I.D. - DRIFT (IN) = 2.867</v>
      </c>
      <c r="I14" t="str">
        <f>IF(Table2489[[#This Row],[Reference]]=Table2489[[#This Row],[Output]],"OK","NG")</f>
        <v>OK</v>
      </c>
      <c r="J14" s="2" t="str">
        <f>RIGHT(Table2489[[#This Row],[Output]],LEN(Table2489[[#This Row],[Output]])-FIND("=",Table2489[[#This Row],[Output]])-1)</f>
        <v>2.867</v>
      </c>
      <c r="K14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5" spans="1:11" ht="16" thickTop="1" thickBot="1">
      <c r="A15" s="7" t="s">
        <v>51</v>
      </c>
      <c r="B15" s="2" t="str">
        <f>SUBSTITUTE(SUBSTITUTE(SUBSTITUTE(Table2489[[#This Row],[Standard Attributes List]]," ",""),".",""),"-","")</f>
        <v>IDMIN(IN)</v>
      </c>
      <c r="C15" s="3" t="s">
        <v>490</v>
      </c>
      <c r="D15" s="3" t="str">
        <f>SUBSTITUTE(SUBSTITUTE(SUBSTITUTE(LEFT(Table2489[[#This Row],[Reference]],FIND("=",Table2489[[#This Row],[Reference]])-2)," ",""),".",""),"-","")</f>
        <v>IDMIN(IN)</v>
      </c>
      <c r="E15" s="3" t="str">
        <f>TRIM(RIGHT(Table2489[[#This Row],[Reference]],LEN(Table2489[[#This Row],[Reference]])-FIND("=",Table2489[[#This Row],[Reference]])-1))</f>
        <v>2.881</v>
      </c>
      <c r="F15" s="3" t="str">
        <f>VLOOKUP(Table2489[[#This Row],[Column1]],D:E,2,FALSE)</f>
        <v>2.881</v>
      </c>
      <c r="G15" s="8"/>
      <c r="H15" s="4" t="str">
        <f>CONCATENATE(Table2489[[#This Row],[Standard Attributes List]]," = ",IF(Table2489[[#This Row],[Overwrite Value]]="",Table2489[[#This Row],[Ref. Value]],Table2489[[#This Row],[Overwrite Value]]))</f>
        <v>I.D. - MIN. (IN) = 2.881</v>
      </c>
      <c r="I15" t="str">
        <f>IF(Table2489[[#This Row],[Reference]]=Table2489[[#This Row],[Output]],"OK","NG")</f>
        <v>OK</v>
      </c>
      <c r="J15" s="2" t="str">
        <f>RIGHT(Table2489[[#This Row],[Output]],LEN(Table2489[[#This Row],[Output]])-FIND("=",Table2489[[#This Row],[Output]])-1)</f>
        <v>2.881</v>
      </c>
      <c r="K15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6" spans="1:11" ht="16" thickTop="1" thickBot="1">
      <c r="A16" s="7" t="s">
        <v>3</v>
      </c>
      <c r="B16" s="2" t="str">
        <f>SUBSTITUTE(SUBSTITUTE(SUBSTITUTE(Table2489[[#This Row],[Standard Attributes List]]," ",""),".",""),"-","")</f>
        <v>INTERNALWORKINGPRESSURE(PSI)EOECATSPECIFIEDTEMP(F)</v>
      </c>
      <c r="C16" s="3" t="s">
        <v>491</v>
      </c>
      <c r="D16" s="3" t="str">
        <f>SUBSTITUTE(SUBSTITUTE(SUBSTITUTE(LEFT(Table2489[[#This Row],[Reference]],FIND("=",Table2489[[#This Row],[Reference]])-2)," ",""),".",""),"-","")</f>
        <v>INTERNALWORKINGPRESSURE(PSI)EOECATSPECIFIEDTEMP(F)</v>
      </c>
      <c r="E16" s="3" t="str">
        <f>TRIM(RIGHT(Table2489[[#This Row],[Reference]],LEN(Table2489[[#This Row],[Reference]])-FIND("=",Table2489[[#This Row],[Reference]])-1))</f>
        <v>5000[325]</v>
      </c>
      <c r="F16" s="3" t="str">
        <f>VLOOKUP(Table2489[[#This Row],[Column1]],D:E,2,FALSE)</f>
        <v>5000[325]</v>
      </c>
      <c r="G16" s="3"/>
      <c r="H16" s="4" t="str">
        <f>CONCATENATE(Table2489[[#This Row],[Standard Attributes List]]," = ",IF(Table2489[[#This Row],[Overwrite Value]]="",Table2489[[#This Row],[Ref. Value]],Table2489[[#This Row],[Overwrite Value]]))</f>
        <v>INTERNAL WORKING PRESSURE (PSI) - EOEC AT SPECIFIED TEMP (F) = 5000[325]</v>
      </c>
      <c r="I16" t="str">
        <f>IF(Table2489[[#This Row],[Reference]]=Table2489[[#This Row],[Output]],"OK","NG")</f>
        <v>OK</v>
      </c>
      <c r="J16" s="2" t="str">
        <f>RIGHT(Table2489[[#This Row],[Output]],LEN(Table2489[[#This Row],[Output]])-FIND("=",Table2489[[#This Row],[Output]])-1)</f>
        <v>5000[325]</v>
      </c>
      <c r="K16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7" spans="1:11" ht="16" thickTop="1" thickBot="1">
      <c r="A17" s="7" t="s">
        <v>59</v>
      </c>
      <c r="B17" s="2" t="str">
        <f>SUBSTITUTE(SUBSTITUTE(SUBSTITUTE(Table2489[[#This Row],[Standard Attributes List]]," ",""),".",""),"-","")</f>
        <v>ISOQUALIFIEDCASINGID</v>
      </c>
      <c r="C17" s="3" t="s">
        <v>77</v>
      </c>
      <c r="D17" s="3" t="str">
        <f>SUBSTITUTE(SUBSTITUTE(SUBSTITUTE(LEFT(Table2489[[#This Row],[Reference]],FIND("=",Table2489[[#This Row],[Reference]])-2)," ",""),".",""),"-","")</f>
        <v>ISOQUALIFIEDCASINGID</v>
      </c>
      <c r="E17" s="3" t="str">
        <f>TRIM(RIGHT(Table2489[[#This Row],[Reference]],LEN(Table2489[[#This Row],[Reference]])-FIND("=",Table2489[[#This Row],[Reference]])-1))</f>
        <v>MAX API ID</v>
      </c>
      <c r="F17" s="3" t="str">
        <f>VLOOKUP(Table2489[[#This Row],[Column1]],D:E,2,FALSE)</f>
        <v>MAX API ID</v>
      </c>
      <c r="G17" s="3"/>
      <c r="H17" s="4" t="str">
        <f>CONCATENATE(Table2489[[#This Row],[Standard Attributes List]]," = ",IF(Table2489[[#This Row],[Overwrite Value]]="",Table2489[[#This Row],[Ref. Value]],Table2489[[#This Row],[Overwrite Value]]))</f>
        <v>ISO QUALIFIED CASING ID = MAX API ID</v>
      </c>
      <c r="I17" t="str">
        <f>IF(Table2489[[#This Row],[Reference]]=Table2489[[#This Row],[Output]],"OK","NG")</f>
        <v>OK</v>
      </c>
      <c r="J17" s="2" t="str">
        <f>RIGHT(Table2489[[#This Row],[Output]],LEN(Table2489[[#This Row],[Output]])-FIND("=",Table2489[[#This Row],[Output]])-1)</f>
        <v>MAX API ID</v>
      </c>
      <c r="K17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8" spans="1:11" ht="16" thickTop="1" thickBot="1">
      <c r="A18" s="7" t="s">
        <v>4</v>
      </c>
      <c r="B18" s="2" t="str">
        <f>SUBSTITUTE(SUBSTITUTE(SUBSTITUTE(Table2489[[#This Row],[Standard Attributes List]]," ",""),".",""),"-","")</f>
        <v>LOWERTHREADCONNECTINGSIZE(IN),WT(PPF),TYPE,CONFIG</v>
      </c>
      <c r="C18" s="3" t="s">
        <v>492</v>
      </c>
      <c r="D18" s="3" t="str">
        <f>SUBSTITUTE(SUBSTITUTE(SUBSTITUTE(LEFT(Table2489[[#This Row],[Reference]],FIND("=",Table2489[[#This Row],[Reference]])-2)," ",""),".",""),"-","")</f>
        <v>LOWERTHREADCONNECTINGSIZE(IN),WT(PPF),TYPE,CONFIG</v>
      </c>
      <c r="E18" s="3" t="str">
        <f>TRIM(RIGHT(Table2489[[#This Row],[Reference]],LEN(Table2489[[#This Row],[Reference]])-FIND("=",Table2489[[#This Row],[Reference]])-1))</f>
        <v>3.5, 9.3, EUE, PIN</v>
      </c>
      <c r="F18" s="3" t="str">
        <f>VLOOKUP(Table2489[[#This Row],[Column1]],D:E,2,FALSE)</f>
        <v>3.5, 9.3, EUE, PIN</v>
      </c>
      <c r="G18" s="3" t="s">
        <v>512</v>
      </c>
      <c r="H18" s="4" t="str">
        <f>CONCATENATE(Table2489[[#This Row],[Standard Attributes List]]," = ",IF(Table2489[[#This Row],[Overwrite Value]]="",Table2489[[#This Row],[Ref. Value]],Table2489[[#This Row],[Overwrite Value]]))</f>
        <v>LOWER THREAD CONNECTING - SIZE (IN), WT (PPF), TYPE, CONFIG = 3.500, 9.2, VAM TOP, PIN</v>
      </c>
      <c r="I18" t="str">
        <f>IF(Table2489[[#This Row],[Reference]]=Table2489[[#This Row],[Output]],"OK","NG")</f>
        <v>NG</v>
      </c>
      <c r="J18" s="2" t="str">
        <f>RIGHT(Table2489[[#This Row],[Output]],LEN(Table2489[[#This Row],[Output]])-FIND("=",Table2489[[#This Row],[Output]])-1)</f>
        <v>3.500, 9.2, VAM TOP, PIN</v>
      </c>
      <c r="K18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>LOWER THREAD CONNECTING - SIZE (IN), WT (PPF), TYPE, CONFIG CHANGED TO "3.500, 9.2, VAM TOP, PIN"</v>
      </c>
    </row>
    <row r="19" spans="1:11" ht="16" thickTop="1" thickBot="1">
      <c r="A19" s="7" t="s">
        <v>53</v>
      </c>
      <c r="B19" s="2" t="str">
        <f>SUBSTITUTE(SUBSTITUTE(SUBSTITUTE(Table2489[[#This Row],[Standard Attributes List]]," ",""),".",""),"-","")</f>
        <v>MAKEUPLENGTH(IN)</v>
      </c>
      <c r="C19" s="3" t="s">
        <v>493</v>
      </c>
      <c r="D19" s="3" t="str">
        <f>SUBSTITUTE(SUBSTITUTE(SUBSTITUTE(LEFT(Table2489[[#This Row],[Reference]],FIND("=",Table2489[[#This Row],[Reference]])-2)," ",""),".",""),"-","")</f>
        <v>MAKEUPLENGTH(IN)</v>
      </c>
      <c r="E19" s="3" t="str">
        <f>TRIM(RIGHT(Table2489[[#This Row],[Reference]],LEN(Table2489[[#This Row],[Reference]])-FIND("=",Table2489[[#This Row],[Reference]])-1))</f>
        <v>56</v>
      </c>
      <c r="F19" s="3" t="str">
        <f>VLOOKUP(Table2489[[#This Row],[Column1]],D:E,2,FALSE)</f>
        <v>56</v>
      </c>
      <c r="G19" s="3"/>
      <c r="H19" s="4" t="str">
        <f>CONCATENATE(Table2489[[#This Row],[Standard Attributes List]]," = ",IF(Table2489[[#This Row],[Overwrite Value]]="",Table2489[[#This Row],[Ref. Value]],Table2489[[#This Row],[Overwrite Value]]))</f>
        <v>MAKE-UP LENGTH (IN) = 56</v>
      </c>
      <c r="I19" t="str">
        <f>IF(Table2489[[#This Row],[Reference]]=Table2489[[#This Row],[Output]],"OK","NG")</f>
        <v>OK</v>
      </c>
      <c r="J19" s="2" t="str">
        <f>RIGHT(Table2489[[#This Row],[Output]],LEN(Table2489[[#This Row],[Output]])-FIND("=",Table2489[[#This Row],[Output]])-1)</f>
        <v>56</v>
      </c>
      <c r="K19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0" spans="1:11" ht="16" thickTop="1" thickBot="1">
      <c r="A20" s="7" t="s">
        <v>5</v>
      </c>
      <c r="B20" s="2" t="str">
        <f>SUBSTITUTE(SUBSTITUTE(SUBSTITUTE(Table2489[[#This Row],[Standard Attributes List]]," ",""),".",""),"-","")</f>
        <v>MATERIAL/ELASTOMERS</v>
      </c>
      <c r="C20" s="3" t="s">
        <v>381</v>
      </c>
      <c r="D20" s="3" t="str">
        <f>SUBSTITUTE(SUBSTITUTE(SUBSTITUTE(LEFT(Table2489[[#This Row],[Reference]],FIND("=",Table2489[[#This Row],[Reference]])-2)," ",""),".",""),"-","")</f>
        <v>MATERIAL/ELASTOMERS</v>
      </c>
      <c r="E20" s="3" t="str">
        <f>TRIM(RIGHT(Table2489[[#This Row],[Reference]],LEN(Table2489[[#This Row],[Reference]])-FIND("=",Table2489[[#This Row],[Reference]])-1))</f>
        <v>VITON, HNBR</v>
      </c>
      <c r="F20" s="3" t="str">
        <f>VLOOKUP(Table2489[[#This Row],[Column1]],D:E,2,FALSE)</f>
        <v>VITON, HNBR</v>
      </c>
      <c r="G20" s="3"/>
      <c r="H20" s="4" t="str">
        <f>CONCATENATE(Table2489[[#This Row],[Standard Attributes List]]," = ",IF(Table2489[[#This Row],[Overwrite Value]]="",Table2489[[#This Row],[Ref. Value]],Table2489[[#This Row],[Overwrite Value]]))</f>
        <v>MATERIAL/ELASTOMERS = VITON, HNBR</v>
      </c>
      <c r="I20" t="str">
        <f>IF(Table2489[[#This Row],[Reference]]=Table2489[[#This Row],[Output]],"OK","NG")</f>
        <v>OK</v>
      </c>
      <c r="J20" s="2" t="str">
        <f>RIGHT(Table2489[[#This Row],[Output]],LEN(Table2489[[#This Row],[Output]])-FIND("=",Table2489[[#This Row],[Output]])-1)</f>
        <v>VITON, HNBR</v>
      </c>
      <c r="K20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1" spans="1:11" ht="16" thickTop="1" thickBot="1">
      <c r="A21" s="7" t="s">
        <v>21</v>
      </c>
      <c r="B21" s="2" t="str">
        <f>SUBSTITUTE(SUBSTITUTE(SUBSTITUTE(Table2489[[#This Row],[Standard Attributes List]]," ",""),".",""),"-","")</f>
        <v>MATERIAL/ELEMENTS</v>
      </c>
      <c r="C21" s="3" t="s">
        <v>62</v>
      </c>
      <c r="D21" s="3" t="str">
        <f>SUBSTITUTE(SUBSTITUTE(SUBSTITUTE(LEFT(Table2489[[#This Row],[Reference]],FIND("=",Table2489[[#This Row],[Reference]])-2)," ",""),".",""),"-","")</f>
        <v>MATERIAL/ELEMENTS</v>
      </c>
      <c r="E21" s="3" t="str">
        <f>TRIM(RIGHT(Table2489[[#This Row],[Reference]],LEN(Table2489[[#This Row],[Reference]])-FIND("=",Table2489[[#This Row],[Reference]])-1))</f>
        <v>HNBR</v>
      </c>
      <c r="F21" s="3" t="str">
        <f>VLOOKUP(Table2489[[#This Row],[Column1]],D:E,2,FALSE)</f>
        <v>HNBR</v>
      </c>
      <c r="G21" s="6"/>
      <c r="H21" s="4" t="str">
        <f>CONCATENATE(Table2489[[#This Row],[Standard Attributes List]]," = ",IF(Table2489[[#This Row],[Overwrite Value]]="",Table2489[[#This Row],[Ref. Value]],Table2489[[#This Row],[Overwrite Value]]))</f>
        <v>MATERIAL/ELEMENTS = HNBR</v>
      </c>
      <c r="I21" t="str">
        <f>IF(Table2489[[#This Row],[Reference]]=Table2489[[#This Row],[Output]],"OK","NG")</f>
        <v>OK</v>
      </c>
      <c r="J21" s="2" t="str">
        <f>RIGHT(Table2489[[#This Row],[Output]],LEN(Table2489[[#This Row],[Output]])-FIND("=",Table2489[[#This Row],[Output]])-1)</f>
        <v>HNBR</v>
      </c>
      <c r="K21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2" spans="1:11" ht="16" thickTop="1" thickBot="1">
      <c r="A22" s="7" t="s">
        <v>22</v>
      </c>
      <c r="B22" s="2" t="str">
        <f>SUBSTITUTE(SUBSTITUTE(SUBSTITUTE(Table2489[[#This Row],[Standard Attributes List]]," ",""),".",""),"-","")</f>
        <v>MATERIAL/NONFLOWWETTED</v>
      </c>
      <c r="C22" s="3" t="s">
        <v>494</v>
      </c>
      <c r="D22" s="3" t="str">
        <f>SUBSTITUTE(SUBSTITUTE(SUBSTITUTE(LEFT(Table2489[[#This Row],[Reference]],FIND("=",Table2489[[#This Row],[Reference]])-2)," ",""),".",""),"-","")</f>
        <v>MATERIAL/NONFLOWWETTED</v>
      </c>
      <c r="E22" s="3" t="str">
        <f>TRIM(RIGHT(Table2489[[#This Row],[Reference]],LEN(Table2489[[#This Row],[Reference]])-FIND("=",Table2489[[#This Row],[Reference]])-1))</f>
        <v>41XX</v>
      </c>
      <c r="F22" s="3" t="str">
        <f>VLOOKUP(Table2489[[#This Row],[Column1]],D:E,2,FALSE)</f>
        <v>41XX</v>
      </c>
      <c r="G22" s="3"/>
      <c r="H22" s="4" t="str">
        <f>CONCATENATE(Table2489[[#This Row],[Standard Attributes List]]," = ",IF(Table2489[[#This Row],[Overwrite Value]]="",Table2489[[#This Row],[Ref. Value]],Table2489[[#This Row],[Overwrite Value]]))</f>
        <v>MATERIAL/NON FLOW WETTED = 41XX</v>
      </c>
      <c r="I22" t="str">
        <f>IF(Table2489[[#This Row],[Reference]]=Table2489[[#This Row],[Output]],"OK","NG")</f>
        <v>OK</v>
      </c>
      <c r="J22" s="2" t="str">
        <f>RIGHT(Table2489[[#This Row],[Output]],LEN(Table2489[[#This Row],[Output]])-FIND("=",Table2489[[#This Row],[Output]])-1)</f>
        <v>41XX</v>
      </c>
      <c r="K22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3" spans="1:11" ht="16" thickTop="1" thickBot="1">
      <c r="A23" s="7" t="s">
        <v>23</v>
      </c>
      <c r="B23" s="2" t="str">
        <f>SUBSTITUTE(SUBSTITUTE(SUBSTITUTE(Table2489[[#This Row],[Standard Attributes List]]," ",""),".",""),"-","")</f>
        <v>MATERIAL/ORING(S)</v>
      </c>
      <c r="C23" s="3" t="s">
        <v>203</v>
      </c>
      <c r="D23" s="3" t="str">
        <f>SUBSTITUTE(SUBSTITUTE(SUBSTITUTE(LEFT(Table2489[[#This Row],[Reference]],FIND("=",Table2489[[#This Row],[Reference]])-2)," ",""),".",""),"-","")</f>
        <v>MATERIAL/ORING(S)</v>
      </c>
      <c r="E23" s="3" t="str">
        <f>TRIM(RIGHT(Table2489[[#This Row],[Reference]],LEN(Table2489[[#This Row],[Reference]])-FIND("=",Table2489[[#This Row],[Reference]])-1))</f>
        <v>VITON</v>
      </c>
      <c r="F23" s="3" t="str">
        <f>VLOOKUP(Table2489[[#This Row],[Column1]],D:E,2,FALSE)</f>
        <v>VITON</v>
      </c>
      <c r="G23" s="3"/>
      <c r="H23" s="4" t="str">
        <f>CONCATENATE(Table2489[[#This Row],[Standard Attributes List]]," = ",IF(Table2489[[#This Row],[Overwrite Value]]="",Table2489[[#This Row],[Ref. Value]],Table2489[[#This Row],[Overwrite Value]]))</f>
        <v>MATERIAL/O-RING(S) = VITON</v>
      </c>
      <c r="I23" t="str">
        <f>IF(Table2489[[#This Row],[Reference]]=Table2489[[#This Row],[Output]],"OK","NG")</f>
        <v>OK</v>
      </c>
      <c r="J23" s="2" t="str">
        <f>RIGHT(Table2489[[#This Row],[Output]],LEN(Table2489[[#This Row],[Output]])-FIND("=",Table2489[[#This Row],[Output]])-1)</f>
        <v>VITON</v>
      </c>
      <c r="K23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4" spans="1:11" ht="16" thickTop="1" thickBot="1">
      <c r="A24" s="7" t="s">
        <v>38</v>
      </c>
      <c r="B24" s="2" t="str">
        <f>SUBSTITUTE(SUBSTITUTE(SUBSTITUTE(Table2489[[#This Row],[Standard Attributes List]]," ",""),".",""),"-","")</f>
        <v>MAXCIRCULATIONRATEPASTPACKER(BPM)</v>
      </c>
      <c r="C24" s="3" t="s">
        <v>204</v>
      </c>
      <c r="D24" s="3" t="str">
        <f>SUBSTITUTE(SUBSTITUTE(SUBSTITUTE(LEFT(Table2489[[#This Row],[Reference]],FIND("=",Table2489[[#This Row],[Reference]])-2)," ",""),".",""),"-","")</f>
        <v>MAXCIRCULATIONRATEPASTPACKER(BPM)</v>
      </c>
      <c r="E24" s="3" t="str">
        <f>TRIM(RIGHT(Table2489[[#This Row],[Reference]],LEN(Table2489[[#This Row],[Reference]])-FIND("=",Table2489[[#This Row],[Reference]])-1))</f>
        <v>NA</v>
      </c>
      <c r="F24" s="3" t="str">
        <f>VLOOKUP(Table2489[[#This Row],[Column1]],D:E,2,FALSE)</f>
        <v>NA</v>
      </c>
      <c r="G24" s="3"/>
      <c r="H24" s="4" t="str">
        <f>CONCATENATE(Table2489[[#This Row],[Standard Attributes List]]," = ",IF(Table2489[[#This Row],[Overwrite Value]]="",Table2489[[#This Row],[Ref. Value]],Table2489[[#This Row],[Overwrite Value]]))</f>
        <v>MAX. CIRCULATION RATE PAST PACKER (BPM) = NA</v>
      </c>
      <c r="I24" t="str">
        <f>IF(Table2489[[#This Row],[Reference]]=Table2489[[#This Row],[Output]],"OK","NG")</f>
        <v>OK</v>
      </c>
      <c r="J24" s="2" t="str">
        <f>RIGHT(Table2489[[#This Row],[Output]],LEN(Table2489[[#This Row],[Output]])-FIND("=",Table2489[[#This Row],[Output]])-1)</f>
        <v>NA</v>
      </c>
      <c r="K24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5" spans="1:11" ht="16" thickTop="1" thickBot="1">
      <c r="A25" s="7" t="s">
        <v>24</v>
      </c>
      <c r="B25" s="2" t="str">
        <f>SUBSTITUTE(SUBSTITUTE(SUBSTITUTE(Table2489[[#This Row],[Standard Attributes List]]," ",""),".",""),"-","")</f>
        <v>MAXDELTAT(F)</v>
      </c>
      <c r="C25" s="3" t="s">
        <v>495</v>
      </c>
      <c r="D25" s="3" t="str">
        <f>SUBSTITUTE(SUBSTITUTE(SUBSTITUTE(LEFT(Table2489[[#This Row],[Reference]],FIND("=",Table2489[[#This Row],[Reference]])-2)," ",""),".",""),"-","")</f>
        <v>MAXDELTAT(F)</v>
      </c>
      <c r="E25" s="3" t="str">
        <f>TRIM(RIGHT(Table2489[[#This Row],[Reference]],LEN(Table2489[[#This Row],[Reference]])-FIND("=",Table2489[[#This Row],[Reference]])-1))</f>
        <v>175</v>
      </c>
      <c r="F25" s="3" t="str">
        <f>VLOOKUP(Table2489[[#This Row],[Column1]],D:E,2,FALSE)</f>
        <v>175</v>
      </c>
      <c r="G25" s="3"/>
      <c r="H25" s="4" t="str">
        <f>CONCATENATE(Table2489[[#This Row],[Standard Attributes List]]," = ",IF(Table2489[[#This Row],[Overwrite Value]]="",Table2489[[#This Row],[Ref. Value]],Table2489[[#This Row],[Overwrite Value]]))</f>
        <v>MAX. DELTA T (F) = 175</v>
      </c>
      <c r="I25" t="str">
        <f>IF(Table2489[[#This Row],[Reference]]=Table2489[[#This Row],[Output]],"OK","NG")</f>
        <v>OK</v>
      </c>
      <c r="J25" s="2" t="str">
        <f>RIGHT(Table2489[[#This Row],[Output]],LEN(Table2489[[#This Row],[Output]])-FIND("=",Table2489[[#This Row],[Output]])-1)</f>
        <v>175</v>
      </c>
      <c r="K25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6" spans="1:11" ht="16" thickTop="1" thickBot="1">
      <c r="A26" s="7" t="s">
        <v>39</v>
      </c>
      <c r="B26" s="2" t="str">
        <f>SUBSTITUTE(SUBSTITUTE(SUBSTITUTE(Table2489[[#This Row],[Standard Attributes List]]," ",""),".",""),"-","")</f>
        <v>MAXRIHRATE(FPM)</v>
      </c>
      <c r="C26" s="3" t="s">
        <v>290</v>
      </c>
      <c r="D26" s="3" t="str">
        <f>SUBSTITUTE(SUBSTITUTE(SUBSTITUTE(LEFT(Table2489[[#This Row],[Reference]],FIND("=",Table2489[[#This Row],[Reference]])-2)," ",""),".",""),"-","")</f>
        <v>MAXRIHRATE(FPM)</v>
      </c>
      <c r="E26" s="3" t="str">
        <f>TRIM(RIGHT(Table2489[[#This Row],[Reference]],LEN(Table2489[[#This Row],[Reference]])-FIND("=",Table2489[[#This Row],[Reference]])-1))</f>
        <v>NA</v>
      </c>
      <c r="F26" s="3" t="str">
        <f>VLOOKUP(Table2489[[#This Row],[Column1]],D:E,2,FALSE)</f>
        <v>NA</v>
      </c>
      <c r="G26" s="3"/>
      <c r="H26" s="4" t="str">
        <f>CONCATENATE(Table2489[[#This Row],[Standard Attributes List]]," = ",IF(Table2489[[#This Row],[Overwrite Value]]="",Table2489[[#This Row],[Ref. Value]],Table2489[[#This Row],[Overwrite Value]]))</f>
        <v>MAX. RIH RATE (FPM) = NA</v>
      </c>
      <c r="I26" t="str">
        <f>IF(Table2489[[#This Row],[Reference]]=Table2489[[#This Row],[Output]],"OK","NG")</f>
        <v>OK</v>
      </c>
      <c r="J26" s="2" t="str">
        <f>RIGHT(Table2489[[#This Row],[Output]],LEN(Table2489[[#This Row],[Output]])-FIND("=",Table2489[[#This Row],[Output]])-1)</f>
        <v>NA</v>
      </c>
      <c r="K26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7" spans="1:11" ht="16" thickTop="1" thickBot="1">
      <c r="A27" s="7" t="s">
        <v>6</v>
      </c>
      <c r="B27" s="2" t="str">
        <f>SUBSTITUTE(SUBSTITUTE(SUBSTITUTE(Table2489[[#This Row],[Standard Attributes List]]," ",""),".",""),"-","")</f>
        <v>MAXWORKINGTEMPERATURE(DEGF)</v>
      </c>
      <c r="C27" s="3" t="s">
        <v>63</v>
      </c>
      <c r="D27" s="3" t="str">
        <f>SUBSTITUTE(SUBSTITUTE(SUBSTITUTE(LEFT(Table2489[[#This Row],[Reference]],FIND("=",Table2489[[#This Row],[Reference]])-2)," ",""),".",""),"-","")</f>
        <v>MAXWORKINGTEMPERATURE(DEGF)</v>
      </c>
      <c r="E27" s="3" t="str">
        <f>TRIM(RIGHT(Table2489[[#This Row],[Reference]],LEN(Table2489[[#This Row],[Reference]])-FIND("=",Table2489[[#This Row],[Reference]])-1))</f>
        <v>325</v>
      </c>
      <c r="F27" s="3" t="str">
        <f>VLOOKUP(Table2489[[#This Row],[Column1]],D:E,2,FALSE)</f>
        <v>325</v>
      </c>
      <c r="G27" s="3"/>
      <c r="H27" s="4" t="str">
        <f>CONCATENATE(Table2489[[#This Row],[Standard Attributes List]]," = ",IF(Table2489[[#This Row],[Overwrite Value]]="",Table2489[[#This Row],[Ref. Value]],Table2489[[#This Row],[Overwrite Value]]))</f>
        <v>MAX. WORKING TEMPERATURE (DEG.F) = 325</v>
      </c>
      <c r="I27" t="str">
        <f>IF(Table2489[[#This Row],[Reference]]=Table2489[[#This Row],[Output]],"OK","NG")</f>
        <v>OK</v>
      </c>
      <c r="J27" s="2" t="str">
        <f>RIGHT(Table2489[[#This Row],[Output]],LEN(Table2489[[#This Row],[Output]])-FIND("=",Table2489[[#This Row],[Output]])-1)</f>
        <v>325</v>
      </c>
      <c r="K27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8" spans="1:11" ht="16" thickTop="1" thickBot="1">
      <c r="A28" s="7" t="s">
        <v>7</v>
      </c>
      <c r="B28" s="2" t="str">
        <f>SUBSTITUTE(SUBSTITUTE(SUBSTITUTE(Table2489[[#This Row],[Standard Attributes List]]," ",""),".",""),"-","")</f>
        <v>MINWORKINGTEMPERATURE(DEGF)</v>
      </c>
      <c r="C28" s="3" t="s">
        <v>274</v>
      </c>
      <c r="D28" s="3" t="str">
        <f>SUBSTITUTE(SUBSTITUTE(SUBSTITUTE(LEFT(Table2489[[#This Row],[Reference]],FIND("=",Table2489[[#This Row],[Reference]])-2)," ",""),".",""),"-","")</f>
        <v>MINWORKINGTEMPERATURE(DEGF)</v>
      </c>
      <c r="E28" s="3" t="str">
        <f>TRIM(RIGHT(Table2489[[#This Row],[Reference]],LEN(Table2489[[#This Row],[Reference]])-FIND("=",Table2489[[#This Row],[Reference]])-1))</f>
        <v>150</v>
      </c>
      <c r="F28" s="3" t="str">
        <f>VLOOKUP(Table2489[[#This Row],[Column1]],D:E,2,FALSE)</f>
        <v>150</v>
      </c>
      <c r="G28" s="3"/>
      <c r="H28" s="4" t="str">
        <f>CONCATENATE(Table2489[[#This Row],[Standard Attributes List]]," = ",IF(Table2489[[#This Row],[Overwrite Value]]="",Table2489[[#This Row],[Ref. Value]],Table2489[[#This Row],[Overwrite Value]]))</f>
        <v>MIN. WORKING TEMPERATURE (DEG.F) = 150</v>
      </c>
      <c r="I28" t="str">
        <f>IF(Table2489[[#This Row],[Reference]]=Table2489[[#This Row],[Output]],"OK","NG")</f>
        <v>OK</v>
      </c>
      <c r="J28" s="2" t="str">
        <f>RIGHT(Table2489[[#This Row],[Output]],LEN(Table2489[[#This Row],[Output]])-FIND("=",Table2489[[#This Row],[Output]])-1)</f>
        <v>150</v>
      </c>
      <c r="K28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9" spans="1:11" ht="16" thickTop="1" thickBot="1">
      <c r="A29" s="7" t="s">
        <v>9</v>
      </c>
      <c r="B29" s="2" t="str">
        <f>SUBSTITUTE(SUBSTITUTE(SUBSTITUTE(Table2489[[#This Row],[Standard Attributes List]]," ",""),".",""),"-","")</f>
        <v>OD(IN)</v>
      </c>
      <c r="C29" s="3" t="s">
        <v>496</v>
      </c>
      <c r="D29" s="3" t="str">
        <f>SUBSTITUTE(SUBSTITUTE(SUBSTITUTE(LEFT(Table2489[[#This Row],[Reference]],FIND("=",Table2489[[#This Row],[Reference]])-2)," ",""),".",""),"-","")</f>
        <v>OD(IN)</v>
      </c>
      <c r="E29" s="3" t="str">
        <f>TRIM(RIGHT(Table2489[[#This Row],[Reference]],LEN(Table2489[[#This Row],[Reference]])-FIND("=",Table2489[[#This Row],[Reference]])-1))</f>
        <v>5.994</v>
      </c>
      <c r="F29" s="3" t="str">
        <f>VLOOKUP(Table2489[[#This Row],[Column1]],D:E,2,FALSE)</f>
        <v>5.994</v>
      </c>
      <c r="G29" s="3"/>
      <c r="H29" s="4" t="str">
        <f>CONCATENATE(Table2489[[#This Row],[Standard Attributes List]]," = ",IF(Table2489[[#This Row],[Overwrite Value]]="",Table2489[[#This Row],[Ref. Value]],Table2489[[#This Row],[Overwrite Value]]))</f>
        <v>O.D. (IN) = 5.994</v>
      </c>
      <c r="I29" t="str">
        <f>IF(Table2489[[#This Row],[Reference]]=Table2489[[#This Row],[Output]],"OK","NG")</f>
        <v>OK</v>
      </c>
      <c r="J29" s="2" t="str">
        <f>RIGHT(Table2489[[#This Row],[Output]],LEN(Table2489[[#This Row],[Output]])-FIND("=",Table2489[[#This Row],[Output]])-1)</f>
        <v>5.994</v>
      </c>
      <c r="K29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0" spans="1:11" ht="16" thickTop="1" thickBot="1">
      <c r="A30" s="7" t="s">
        <v>8</v>
      </c>
      <c r="B30" s="2" t="str">
        <f>SUBSTITUTE(SUBSTITUTE(SUBSTITUTE(Table2489[[#This Row],[Standard Attributes List]]," ",""),".",""),"-","")</f>
        <v>ODMAX(IN)</v>
      </c>
      <c r="C30" s="3" t="s">
        <v>497</v>
      </c>
      <c r="D30" s="3" t="str">
        <f>SUBSTITUTE(SUBSTITUTE(SUBSTITUTE(LEFT(Table2489[[#This Row],[Reference]],FIND("=",Table2489[[#This Row],[Reference]])-2)," ",""),".",""),"-","")</f>
        <v>ODMAX(IN)</v>
      </c>
      <c r="E30" s="3" t="str">
        <f>TRIM(RIGHT(Table2489[[#This Row],[Reference]],LEN(Table2489[[#This Row],[Reference]])-FIND("=",Table2489[[#This Row],[Reference]])-1))</f>
        <v>5.999</v>
      </c>
      <c r="F30" s="3" t="str">
        <f>VLOOKUP(Table2489[[#This Row],[Column1]],D:E,2,FALSE)</f>
        <v>5.999</v>
      </c>
      <c r="G30" s="3"/>
      <c r="H30" s="4" t="str">
        <f>CONCATENATE(Table2489[[#This Row],[Standard Attributes List]]," = ",IF(Table2489[[#This Row],[Overwrite Value]]="",Table2489[[#This Row],[Ref. Value]],Table2489[[#This Row],[Overwrite Value]]))</f>
        <v>O.D. - MAX. (IN) = 5.999</v>
      </c>
      <c r="I30" t="str">
        <f>IF(Table2489[[#This Row],[Reference]]=Table2489[[#This Row],[Output]],"OK","NG")</f>
        <v>OK</v>
      </c>
      <c r="J30" s="2" t="str">
        <f>RIGHT(Table2489[[#This Row],[Output]],LEN(Table2489[[#This Row],[Output]])-FIND("=",Table2489[[#This Row],[Output]])-1)</f>
        <v>5.999</v>
      </c>
      <c r="K30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1" spans="1:11" ht="16" thickTop="1" thickBot="1">
      <c r="A31" s="7" t="s">
        <v>40</v>
      </c>
      <c r="B31" s="2" t="str">
        <f>SUBSTITUTE(SUBSTITUTE(SUBSTITUTE(Table2489[[#This Row],[Standard Attributes List]]," ",""),".",""),"-","")</f>
        <v>OPERATIONSMANUAL</v>
      </c>
      <c r="C31" s="3" t="s">
        <v>498</v>
      </c>
      <c r="D31" s="3" t="str">
        <f>SUBSTITUTE(SUBSTITUTE(SUBSTITUTE(LEFT(Table2489[[#This Row],[Reference]],FIND("=",Table2489[[#This Row],[Reference]])-2)," ",""),".",""),"-","")</f>
        <v>OPERATIONSMANUAL</v>
      </c>
      <c r="E31" s="3" t="str">
        <f>TRIM(RIGHT(Table2489[[#This Row],[Reference]],LEN(Table2489[[#This Row],[Reference]])-FIND("=",Table2489[[#This Row],[Reference]])-1))</f>
        <v>IT# 6842379</v>
      </c>
      <c r="F31" s="3" t="str">
        <f>VLOOKUP(Table2489[[#This Row],[Column1]],D:E,2,FALSE)</f>
        <v>IT# 6842379</v>
      </c>
      <c r="G31" s="3"/>
      <c r="H31" s="4" t="str">
        <f>CONCATENATE(Table2489[[#This Row],[Standard Attributes List]]," = ",IF(Table2489[[#This Row],[Overwrite Value]]="",Table2489[[#This Row],[Ref. Value]],Table2489[[#This Row],[Overwrite Value]]))</f>
        <v>OPERATIONS MANUAL = IT# 6842379</v>
      </c>
      <c r="I31" t="str">
        <f>IF(Table2489[[#This Row],[Reference]]=Table2489[[#This Row],[Output]],"OK","NG")</f>
        <v>OK</v>
      </c>
      <c r="J31" s="2" t="str">
        <f>RIGHT(Table2489[[#This Row],[Output]],LEN(Table2489[[#This Row],[Output]])-FIND("=",Table2489[[#This Row],[Output]])-1)</f>
        <v>IT# 6842379</v>
      </c>
      <c r="K31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2" spans="1:11" ht="16" thickTop="1" thickBot="1">
      <c r="A32" s="7" t="s">
        <v>10</v>
      </c>
      <c r="B32" s="2" t="str">
        <f>SUBSTITUTE(SUBSTITUTE(SUBSTITUTE(Table2489[[#This Row],[Standard Attributes List]]," ",""),".",""),"-","")</f>
        <v>OVERALLLENGTH(IN)</v>
      </c>
      <c r="C32" s="3" t="s">
        <v>499</v>
      </c>
      <c r="D32" s="3" t="str">
        <f>SUBSTITUTE(SUBSTITUTE(SUBSTITUTE(LEFT(Table2489[[#This Row],[Reference]],FIND("=",Table2489[[#This Row],[Reference]])-2)," ",""),".",""),"-","")</f>
        <v>OVERALLLENGTH(IN)</v>
      </c>
      <c r="E32" s="3" t="str">
        <f>TRIM(RIGHT(Table2489[[#This Row],[Reference]],LEN(Table2489[[#This Row],[Reference]])-FIND("=",Table2489[[#This Row],[Reference]])-1))</f>
        <v>63</v>
      </c>
      <c r="F32" s="3" t="str">
        <f>VLOOKUP(Table2489[[#This Row],[Column1]],D:E,2,FALSE)</f>
        <v>63</v>
      </c>
      <c r="G32" s="3"/>
      <c r="H32" s="4" t="str">
        <f>CONCATENATE(Table2489[[#This Row],[Standard Attributes List]]," = ",IF(Table2489[[#This Row],[Overwrite Value]]="",Table2489[[#This Row],[Ref. Value]],Table2489[[#This Row],[Overwrite Value]]))</f>
        <v>OVERALL LENGTH (IN) = 63</v>
      </c>
      <c r="I32" t="str">
        <f>IF(Table2489[[#This Row],[Reference]]=Table2489[[#This Row],[Output]],"OK","NG")</f>
        <v>OK</v>
      </c>
      <c r="J32" s="2" t="str">
        <f>RIGHT(Table2489[[#This Row],[Output]],LEN(Table2489[[#This Row],[Output]])-FIND("=",Table2489[[#This Row],[Output]])-1)</f>
        <v>63</v>
      </c>
      <c r="K32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3" spans="1:14" ht="16" thickTop="1" thickBot="1">
      <c r="A33" s="7" t="s">
        <v>25</v>
      </c>
      <c r="B33" s="2" t="str">
        <f>SUBSTITUTE(SUBSTITUTE(SUBSTITUTE(Table2489[[#This Row],[Standard Attributes List]]," ",""),".",""),"-","")</f>
        <v>PACKERENVELOPEPOINTSISOLATEDLOAD(LBS)</v>
      </c>
      <c r="C33" s="3" t="s">
        <v>212</v>
      </c>
      <c r="D33" s="3" t="str">
        <f>SUBSTITUTE(SUBSTITUTE(SUBSTITUTE(LEFT(Table2489[[#This Row],[Reference]],FIND("=",Table2489[[#This Row],[Reference]])-2)," ",""),".",""),"-","")</f>
        <v>PACKERENVELOPEPOINTSISOLATEDLOAD(LBS)</v>
      </c>
      <c r="E33" s="3" t="str">
        <f>TRIM(RIGHT(Table2489[[#This Row],[Reference]],LEN(Table2489[[#This Row],[Reference]])-FIND("=",Table2489[[#This Row],[Reference]])-1))</f>
        <v>NA</v>
      </c>
      <c r="F33" s="3" t="str">
        <f>VLOOKUP(Table2489[[#This Row],[Column1]],D:E,2,FALSE)</f>
        <v>NA</v>
      </c>
      <c r="G33" s="3"/>
      <c r="H33" s="4" t="str">
        <f>CONCATENATE(Table2489[[#This Row],[Standard Attributes List]]," = ",IF(Table2489[[#This Row],[Overwrite Value]]="",Table2489[[#This Row],[Ref. Value]],Table2489[[#This Row],[Overwrite Value]]))</f>
        <v>PACKER ENVELOPE POINTS ISOLATED - LOAD (LBS) = NA</v>
      </c>
      <c r="I33" t="str">
        <f>IF(Table2489[[#This Row],[Reference]]=Table2489[[#This Row],[Output]],"OK","NG")</f>
        <v>OK</v>
      </c>
      <c r="J33" s="2" t="str">
        <f>RIGHT(Table2489[[#This Row],[Output]],LEN(Table2489[[#This Row],[Output]])-FIND("=",Table2489[[#This Row],[Output]])-1)</f>
        <v>NA</v>
      </c>
      <c r="K33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4" spans="1:14" ht="16" thickTop="1" thickBot="1">
      <c r="A34" s="7" t="s">
        <v>26</v>
      </c>
      <c r="B34" s="2" t="str">
        <f>SUBSTITUTE(SUBSTITUTE(SUBSTITUTE(Table2489[[#This Row],[Standard Attributes List]]," ",""),".",""),"-","")</f>
        <v>PACKERENVELOPEPOINTSISOLATEDPRESSURE(PSI)</v>
      </c>
      <c r="C34" s="3" t="s">
        <v>213</v>
      </c>
      <c r="D34" s="3" t="str">
        <f>SUBSTITUTE(SUBSTITUTE(SUBSTITUTE(LEFT(Table2489[[#This Row],[Reference]],FIND("=",Table2489[[#This Row],[Reference]])-2)," ",""),".",""),"-","")</f>
        <v>PACKERENVELOPEPOINTSISOLATEDPRESSURE(PSI)</v>
      </c>
      <c r="E34" s="3" t="str">
        <f>TRIM(RIGHT(Table2489[[#This Row],[Reference]],LEN(Table2489[[#This Row],[Reference]])-FIND("=",Table2489[[#This Row],[Reference]])-1))</f>
        <v>NA</v>
      </c>
      <c r="F34" s="3" t="str">
        <f>VLOOKUP(Table2489[[#This Row],[Column1]],D:E,2,FALSE)</f>
        <v>NA</v>
      </c>
      <c r="G34" s="3"/>
      <c r="H34" s="4" t="str">
        <f>CONCATENATE(Table2489[[#This Row],[Standard Attributes List]]," = ",IF(Table2489[[#This Row],[Overwrite Value]]="",Table2489[[#This Row],[Ref. Value]],Table2489[[#This Row],[Overwrite Value]]))</f>
        <v>PACKER ENVELOPE POINTS ISOLATED - PRESSURE (PSI) = NA</v>
      </c>
      <c r="I34" t="str">
        <f>IF(Table2489[[#This Row],[Reference]]=Table2489[[#This Row],[Output]],"OK","NG")</f>
        <v>OK</v>
      </c>
      <c r="J34" s="2" t="str">
        <f>RIGHT(Table2489[[#This Row],[Output]],LEN(Table2489[[#This Row],[Output]])-FIND("=",Table2489[[#This Row],[Output]])-1)</f>
        <v>NA</v>
      </c>
      <c r="K34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5" spans="1:14" ht="16" thickTop="1" thickBot="1">
      <c r="A35" s="7" t="s">
        <v>27</v>
      </c>
      <c r="B35" s="2" t="str">
        <f>SUBSTITUTE(SUBSTITUTE(SUBSTITUTE(Table2489[[#This Row],[Standard Attributes List]]," ",""),".",""),"-","")</f>
        <v>PACKERENVELOPEPOINTSPLUGGEDBELOWLOAD(LBS)</v>
      </c>
      <c r="C35" s="3" t="s">
        <v>214</v>
      </c>
      <c r="D35" s="3" t="str">
        <f>SUBSTITUTE(SUBSTITUTE(SUBSTITUTE(LEFT(Table2489[[#This Row],[Reference]],FIND("=",Table2489[[#This Row],[Reference]])-2)," ",""),".",""),"-","")</f>
        <v>PACKERENVELOPEPOINTSPLUGGEDBELOWLOAD(LBS)</v>
      </c>
      <c r="E35" s="3" t="str">
        <f>TRIM(RIGHT(Table2489[[#This Row],[Reference]],LEN(Table2489[[#This Row],[Reference]])-FIND("=",Table2489[[#This Row],[Reference]])-1))</f>
        <v>NA</v>
      </c>
      <c r="F35" s="3" t="str">
        <f>VLOOKUP(Table2489[[#This Row],[Column1]],D:E,2,FALSE)</f>
        <v>NA</v>
      </c>
      <c r="G35" s="3"/>
      <c r="H35" s="4" t="str">
        <f>CONCATENATE(Table2489[[#This Row],[Standard Attributes List]]," = ",IF(Table2489[[#This Row],[Overwrite Value]]="",Table2489[[#This Row],[Ref. Value]],Table2489[[#This Row],[Overwrite Value]]))</f>
        <v>PACKER ENVELOPE POINTS PLUGGED - BELOW - LOAD (LBS) = NA</v>
      </c>
      <c r="I35" t="str">
        <f>IF(Table2489[[#This Row],[Reference]]=Table2489[[#This Row],[Output]],"OK","NG")</f>
        <v>OK</v>
      </c>
      <c r="J35" s="2" t="str">
        <f>RIGHT(Table2489[[#This Row],[Output]],LEN(Table2489[[#This Row],[Output]])-FIND("=",Table2489[[#This Row],[Output]])-1)</f>
        <v>NA</v>
      </c>
      <c r="K35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6" spans="1:14" ht="16" thickTop="1" thickBot="1">
      <c r="A36" s="7" t="s">
        <v>28</v>
      </c>
      <c r="B36" s="2" t="str">
        <f>SUBSTITUTE(SUBSTITUTE(SUBSTITUTE(Table2489[[#This Row],[Standard Attributes List]]," ",""),".",""),"-","")</f>
        <v>PACKERENVELOPEPOINTSPLUGGEDBELOWPRESSURE(PSI)</v>
      </c>
      <c r="C36" s="3" t="s">
        <v>215</v>
      </c>
      <c r="D36" s="3" t="str">
        <f>SUBSTITUTE(SUBSTITUTE(SUBSTITUTE(LEFT(Table2489[[#This Row],[Reference]],FIND("=",Table2489[[#This Row],[Reference]])-2)," ",""),".",""),"-","")</f>
        <v>PACKERENVELOPEPOINTSPLUGGEDBELOWPRESSURE(PSI)</v>
      </c>
      <c r="E36" s="3" t="str">
        <f>TRIM(RIGHT(Table2489[[#This Row],[Reference]],LEN(Table2489[[#This Row],[Reference]])-FIND("=",Table2489[[#This Row],[Reference]])-1))</f>
        <v>NA</v>
      </c>
      <c r="F36" s="3" t="str">
        <f>VLOOKUP(Table2489[[#This Row],[Column1]],D:E,2,FALSE)</f>
        <v>NA</v>
      </c>
      <c r="G36" s="3"/>
      <c r="H36" s="4" t="str">
        <f>CONCATENATE(Table2489[[#This Row],[Standard Attributes List]]," = ",IF(Table2489[[#This Row],[Overwrite Value]]="",Table2489[[#This Row],[Ref. Value]],Table2489[[#This Row],[Overwrite Value]]))</f>
        <v>PACKER ENVELOPE POINTS PLUGGED - BELOW - PRESSURE (PSI) = NA</v>
      </c>
      <c r="I36" t="str">
        <f>IF(Table2489[[#This Row],[Reference]]=Table2489[[#This Row],[Output]],"OK","NG")</f>
        <v>OK</v>
      </c>
      <c r="J36" s="2" t="str">
        <f>RIGHT(Table2489[[#This Row],[Output]],LEN(Table2489[[#This Row],[Output]])-FIND("=",Table2489[[#This Row],[Output]])-1)</f>
        <v>NA</v>
      </c>
      <c r="K36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7" spans="1:14" ht="16" thickTop="1" thickBot="1">
      <c r="A37" s="7" t="s">
        <v>29</v>
      </c>
      <c r="B37" s="2" t="str">
        <f>SUBSTITUTE(SUBSTITUTE(SUBSTITUTE(Table2489[[#This Row],[Standard Attributes List]]," ",""),".",""),"-","")</f>
        <v>PACKERENVELOPEPOINTSUNPLUGGEDLOAD(LBS)</v>
      </c>
      <c r="C37" s="3" t="s">
        <v>500</v>
      </c>
      <c r="D37" s="3" t="str">
        <f>SUBSTITUTE(SUBSTITUTE(SUBSTITUTE(LEFT(Table2489[[#This Row],[Reference]],FIND("=",Table2489[[#This Row],[Reference]])-2)," ",""),".",""),"-","")</f>
        <v>PACKERENVELOPEPOINTSUNPLUGGEDLOAD(LBS)</v>
      </c>
      <c r="E37" s="3" t="str">
        <f>TRIM(RIGHT(Table2489[[#This Row],[Reference]],LEN(Table2489[[#This Row],[Reference]])-FIND("=",Table2489[[#This Row],[Reference]])-1))</f>
        <v>72654, 72654, -13169, -117194, -118033, -118033, 55661, 65242</v>
      </c>
      <c r="F37" s="3" t="str">
        <f>VLOOKUP(Table2489[[#This Row],[Column1]],D:E,2,FALSE)</f>
        <v>72654, 72654, -13169, -117194, -118033, -118033, 55661, 65242</v>
      </c>
      <c r="G37" s="3"/>
      <c r="H37" s="4" t="str">
        <f>CONCATENATE(Table2489[[#This Row],[Standard Attributes List]]," = ",IF(Table2489[[#This Row],[Overwrite Value]]="",Table2489[[#This Row],[Ref. Value]],Table2489[[#This Row],[Overwrite Value]]))</f>
        <v>PACKER ENVELOPE POINTS UNPLUGGED - LOAD (LBS) = 72654, 72654, -13169, -117194, -118033, -118033, 55661, 65242</v>
      </c>
      <c r="I37" t="str">
        <f>IF(Table2489[[#This Row],[Reference]]=Table2489[[#This Row],[Output]],"OK","NG")</f>
        <v>OK</v>
      </c>
      <c r="J37" s="2" t="str">
        <f>RIGHT(Table2489[[#This Row],[Output]],LEN(Table2489[[#This Row],[Output]])-FIND("=",Table2489[[#This Row],[Output]])-1)</f>
        <v>72654, 72654, -13169, -117194, -118033, -118033, 55661, 65242</v>
      </c>
      <c r="K37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8" spans="1:14" ht="16" thickTop="1" thickBot="1">
      <c r="A38" s="7" t="s">
        <v>30</v>
      </c>
      <c r="B38" s="2" t="str">
        <f>SUBSTITUTE(SUBSTITUTE(SUBSTITUTE(Table2489[[#This Row],[Standard Attributes List]]," ",""),".",""),"-","")</f>
        <v>PACKERENVELOPEPOINTSUNPLUGGEDPRESSURE(PSI)</v>
      </c>
      <c r="C38" s="3" t="s">
        <v>501</v>
      </c>
      <c r="D38" s="3" t="str">
        <f>SUBSTITUTE(SUBSTITUTE(SUBSTITUTE(LEFT(Table2489[[#This Row],[Reference]],FIND("=",Table2489[[#This Row],[Reference]])-2)," ",""),".",""),"-","")</f>
        <v>PACKERENVELOPEPOINTSUNPLUGGEDPRESSURE(PSI)</v>
      </c>
      <c r="E38" s="3" t="str">
        <f>TRIM(RIGHT(Table2489[[#This Row],[Reference]],LEN(Table2489[[#This Row],[Reference]])-FIND("=",Table2489[[#This Row],[Reference]])-1))</f>
        <v>0, -5000, -5000, -519, 0, 5000, 5000, 4587</v>
      </c>
      <c r="F38" s="3" t="str">
        <f>VLOOKUP(Table2489[[#This Row],[Column1]],D:E,2,FALSE)</f>
        <v>0, -5000, -5000, -519, 0, 5000, 5000, 4587</v>
      </c>
      <c r="G38" s="3"/>
      <c r="H38" s="4" t="str">
        <f>CONCATENATE(Table2489[[#This Row],[Standard Attributes List]]," = ",IF(Table2489[[#This Row],[Overwrite Value]]="",Table2489[[#This Row],[Ref. Value]],Table2489[[#This Row],[Overwrite Value]]))</f>
        <v>PACKER ENVELOPE POINTS UNPLUGGED - PRESSURE (PSI) = 0, -5000, -5000, -519, 0, 5000, 5000, 4587</v>
      </c>
      <c r="I38" t="str">
        <f>IF(Table2489[[#This Row],[Reference]]=Table2489[[#This Row],[Output]],"OK","NG")</f>
        <v>OK</v>
      </c>
      <c r="J38" s="2" t="str">
        <f>RIGHT(Table2489[[#This Row],[Output]],LEN(Table2489[[#This Row],[Output]])-FIND("=",Table2489[[#This Row],[Output]])-1)</f>
        <v>0, -5000, -5000, -519, 0, 5000, 5000, 4587</v>
      </c>
      <c r="K38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9" spans="1:14" ht="16" thickTop="1" thickBot="1">
      <c r="A39" s="7" t="s">
        <v>41</v>
      </c>
      <c r="B39" s="2" t="str">
        <f>SUBSTITUTE(SUBSTITUTE(SUBSTITUTE(Table2489[[#This Row],[Standard Attributes List]]," ",""),".",""),"-","")</f>
        <v>QUALITYCONTROLGRADE</v>
      </c>
      <c r="C39" s="3" t="s">
        <v>60</v>
      </c>
      <c r="D39" s="3" t="str">
        <f>SUBSTITUTE(SUBSTITUTE(SUBSTITUTE(LEFT(Table2489[[#This Row],[Reference]],FIND("=",Table2489[[#This Row],[Reference]])-2)," ",""),".",""),"-","")</f>
        <v>QUALITYCONTROLGRADE</v>
      </c>
      <c r="E39" s="3" t="str">
        <f>TRIM(RIGHT(Table2489[[#This Row],[Reference]],LEN(Table2489[[#This Row],[Reference]])-FIND("=",Table2489[[#This Row],[Reference]])-1))</f>
        <v>Q3</v>
      </c>
      <c r="F39" s="3" t="str">
        <f>VLOOKUP(Table2489[[#This Row],[Column1]],D:E,2,FALSE)</f>
        <v>Q3</v>
      </c>
      <c r="G39" s="3"/>
      <c r="H39" s="4" t="str">
        <f>CONCATENATE(Table2489[[#This Row],[Standard Attributes List]]," = ",IF(Table2489[[#This Row],[Overwrite Value]]="",Table2489[[#This Row],[Ref. Value]],Table2489[[#This Row],[Overwrite Value]]))</f>
        <v>QUALITY CONTROL GRADE = Q3</v>
      </c>
      <c r="I39" t="str">
        <f>IF(Table2489[[#This Row],[Reference]]=Table2489[[#This Row],[Output]],"OK","NG")</f>
        <v>OK</v>
      </c>
      <c r="J39" s="2" t="str">
        <f>RIGHT(Table2489[[#This Row],[Output]],LEN(Table2489[[#This Row],[Output]])-FIND("=",Table2489[[#This Row],[Output]])-1)</f>
        <v>Q3</v>
      </c>
      <c r="K39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40" spans="1:14" ht="16" thickTop="1" thickBot="1">
      <c r="A40" s="7" t="s">
        <v>11</v>
      </c>
      <c r="B40" s="2" t="str">
        <f>SUBSTITUTE(SUBSTITUTE(SUBSTITUTE(Table2489[[#This Row],[Standard Attributes List]]," ",""),".",""),"-","")</f>
        <v>QUALITYCONTROLPLANQCP</v>
      </c>
      <c r="C40" s="3" t="s">
        <v>502</v>
      </c>
      <c r="D40" s="3" t="str">
        <f>SUBSTITUTE(SUBSTITUTE(SUBSTITUTE(LEFT(Table2489[[#This Row],[Reference]],FIND("=",Table2489[[#This Row],[Reference]])-2)," ",""),".",""),"-","")</f>
        <v>QUALITYCONTROLPLANQCP</v>
      </c>
      <c r="E40" s="3" t="str">
        <f>TRIM(RIGHT(Table2489[[#This Row],[Reference]],LEN(Table2489[[#This Row],[Reference]])-FIND("=",Table2489[[#This Row],[Reference]])-1))</f>
        <v>SLB HV QCP</v>
      </c>
      <c r="F40" s="3" t="str">
        <f>VLOOKUP(Table2489[[#This Row],[Column1]],D:E,2,FALSE)</f>
        <v>SLB HV QCP</v>
      </c>
      <c r="G40" s="3"/>
      <c r="H40" s="4" t="str">
        <f>CONCATENATE(Table2489[[#This Row],[Standard Attributes List]]," = ",IF(Table2489[[#This Row],[Overwrite Value]]="",Table2489[[#This Row],[Ref. Value]],Table2489[[#This Row],[Overwrite Value]]))</f>
        <v>QUALITY CONTROL PLAN - QCP = SLB HV QCP</v>
      </c>
      <c r="I40" t="str">
        <f>IF(Table2489[[#This Row],[Reference]]=Table2489[[#This Row],[Output]],"OK","NG")</f>
        <v>OK</v>
      </c>
      <c r="J40" s="2" t="str">
        <f>RIGHT(Table2489[[#This Row],[Output]],LEN(Table2489[[#This Row],[Output]])-FIND("=",Table2489[[#This Row],[Output]])-1)</f>
        <v>SLB HV QCP</v>
      </c>
      <c r="K40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0" s="11"/>
      <c r="N40" s="11"/>
    </row>
    <row r="41" spans="1:14" ht="16" thickTop="1" thickBot="1">
      <c r="A41" s="7" t="s">
        <v>42</v>
      </c>
      <c r="B41" s="2" t="str">
        <f>SUBSTITUTE(SUBSTITUTE(SUBSTITUTE(Table2489[[#This Row],[Standard Attributes List]]," ",""),".",""),"-","")</f>
        <v>RETRIEVALMETHOD</v>
      </c>
      <c r="C41" s="3" t="s">
        <v>296</v>
      </c>
      <c r="D41" s="3" t="str">
        <f>SUBSTITUTE(SUBSTITUTE(SUBSTITUTE(LEFT(Table2489[[#This Row],[Reference]],FIND("=",Table2489[[#This Row],[Reference]])-2)," ",""),".",""),"-","")</f>
        <v>RETRIEVALMETHOD</v>
      </c>
      <c r="E41" s="3" t="str">
        <f>TRIM(RIGHT(Table2489[[#This Row],[Reference]],LEN(Table2489[[#This Row],[Reference]])-FIND("=",Table2489[[#This Row],[Reference]])-1))</f>
        <v>STRAIGHT-PULL-RELEASE</v>
      </c>
      <c r="F41" s="3" t="str">
        <f>VLOOKUP(Table2489[[#This Row],[Column1]],D:E,2,FALSE)</f>
        <v>STRAIGHT-PULL-RELEASE</v>
      </c>
      <c r="G41" s="3"/>
      <c r="H41" s="4" t="str">
        <f>CONCATENATE(Table2489[[#This Row],[Standard Attributes List]]," = ",IF(Table2489[[#This Row],[Overwrite Value]]="",Table2489[[#This Row],[Ref. Value]],Table2489[[#This Row],[Overwrite Value]]))</f>
        <v>RETRIEVAL METHOD = STRAIGHT-PULL-RELEASE</v>
      </c>
      <c r="I41" t="str">
        <f>IF(Table2489[[#This Row],[Reference]]=Table2489[[#This Row],[Output]],"OK","NG")</f>
        <v>OK</v>
      </c>
      <c r="J41" s="2" t="str">
        <f>RIGHT(Table2489[[#This Row],[Output]],LEN(Table2489[[#This Row],[Output]])-FIND("=",Table2489[[#This Row],[Output]])-1)</f>
        <v>STRAIGHT-PULL-RELEASE</v>
      </c>
      <c r="K41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1" s="11"/>
      <c r="N41" s="11"/>
    </row>
    <row r="42" spans="1:14" ht="16" thickTop="1" thickBot="1">
      <c r="A42" s="7" t="s">
        <v>31</v>
      </c>
      <c r="B42" s="2" t="str">
        <f>SUBSTITUTE(SUBSTITUTE(SUBSTITUTE(Table2489[[#This Row],[Standard Attributes List]]," ",""),".",""),"-","")</f>
        <v>SEALDIAMETER(IN)</v>
      </c>
      <c r="C42" s="3" t="s">
        <v>503</v>
      </c>
      <c r="D42" s="3" t="str">
        <f>SUBSTITUTE(SUBSTITUTE(SUBSTITUTE(LEFT(Table2489[[#This Row],[Reference]],FIND("=",Table2489[[#This Row],[Reference]])-2)," ",""),".",""),"-","")</f>
        <v>SEALDIAMETER(IN)</v>
      </c>
      <c r="E42" s="3" t="str">
        <f>TRIM(RIGHT(Table2489[[#This Row],[Reference]],LEN(Table2489[[#This Row],[Reference]])-FIND("=",Table2489[[#This Row],[Reference]])-1))</f>
        <v>3.5</v>
      </c>
      <c r="F42" s="3" t="str">
        <f>VLOOKUP(Table2489[[#This Row],[Column1]],D:E,2,FALSE)</f>
        <v>3.5</v>
      </c>
      <c r="G42" s="3"/>
      <c r="H42" s="4" t="str">
        <f>CONCATENATE(Table2489[[#This Row],[Standard Attributes List]]," = ",IF(Table2489[[#This Row],[Overwrite Value]]="",Table2489[[#This Row],[Ref. Value]],Table2489[[#This Row],[Overwrite Value]]))</f>
        <v>SEAL DIAMETER (IN) = 3.5</v>
      </c>
      <c r="I42" t="str">
        <f>IF(Table2489[[#This Row],[Reference]]=Table2489[[#This Row],[Output]],"OK","NG")</f>
        <v>OK</v>
      </c>
      <c r="J42" s="2" t="str">
        <f>RIGHT(Table2489[[#This Row],[Output]],LEN(Table2489[[#This Row],[Output]])-FIND("=",Table2489[[#This Row],[Output]])-1)</f>
        <v>3.5</v>
      </c>
      <c r="K42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2" s="11"/>
      <c r="N42" s="11"/>
    </row>
    <row r="43" spans="1:14" ht="16" thickTop="1" thickBot="1">
      <c r="A43" s="7" t="s">
        <v>12</v>
      </c>
      <c r="B43" s="2" t="str">
        <f>SUBSTITUTE(SUBSTITUTE(SUBSTITUTE(Table2489[[#This Row],[Standard Attributes List]]," ",""),".",""),"-","")</f>
        <v>SERVICENACE(YES/NO)</v>
      </c>
      <c r="C43" s="3" t="s">
        <v>49</v>
      </c>
      <c r="D43" s="3" t="str">
        <f>SUBSTITUTE(SUBSTITUTE(SUBSTITUTE(LEFT(Table2489[[#This Row],[Reference]],FIND("=",Table2489[[#This Row],[Reference]])-2)," ",""),".",""),"-","")</f>
        <v>SERVICENACE(YES/NO)</v>
      </c>
      <c r="E43" s="3" t="str">
        <f>TRIM(RIGHT(Table2489[[#This Row],[Reference]],LEN(Table2489[[#This Row],[Reference]])-FIND("=",Table2489[[#This Row],[Reference]])-1))</f>
        <v>YES</v>
      </c>
      <c r="F43" s="3" t="str">
        <f>VLOOKUP(Table2489[[#This Row],[Column1]],D:E,2,FALSE)</f>
        <v>YES</v>
      </c>
      <c r="G43" s="3"/>
      <c r="H43" s="4" t="str">
        <f>CONCATENATE(Table2489[[#This Row],[Standard Attributes List]]," = ",IF(Table2489[[#This Row],[Overwrite Value]]="",Table2489[[#This Row],[Ref. Value]],Table2489[[#This Row],[Overwrite Value]]))</f>
        <v>SERVICE NACE (YES/NO) = YES</v>
      </c>
      <c r="I43" t="str">
        <f>IF(Table2489[[#This Row],[Reference]]=Table2489[[#This Row],[Output]],"OK","NG")</f>
        <v>OK</v>
      </c>
      <c r="J43" s="2" t="str">
        <f>RIGHT(Table2489[[#This Row],[Output]],LEN(Table2489[[#This Row],[Output]])-FIND("=",Table2489[[#This Row],[Output]])-1)</f>
        <v>YES</v>
      </c>
      <c r="K43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3" s="11"/>
      <c r="N43" s="11"/>
    </row>
    <row r="44" spans="1:14" ht="16" thickTop="1" thickBot="1">
      <c r="A44" s="7" t="s">
        <v>32</v>
      </c>
      <c r="B44" s="2" t="str">
        <f>SUBSTITUTE(SUBSTITUTE(SUBSTITUTE(Table2489[[#This Row],[Standard Attributes List]]," ",""),".",""),"-","")</f>
        <v>SETTINGDIFFERENTIALPRESSURERECOMMENDED(MIN)(PSI)</v>
      </c>
      <c r="C44" s="3" t="s">
        <v>504</v>
      </c>
      <c r="D44" s="3" t="str">
        <f>SUBSTITUTE(SUBSTITUTE(SUBSTITUTE(LEFT(Table2489[[#This Row],[Reference]],FIND("=",Table2489[[#This Row],[Reference]])-2)," ",""),".",""),"-","")</f>
        <v>SETTINGDIFFERENTIALPRESSURERECOMMENDED(MIN)(PSI)</v>
      </c>
      <c r="E44" s="3" t="str">
        <f>TRIM(RIGHT(Table2489[[#This Row],[Reference]],LEN(Table2489[[#This Row],[Reference]])-FIND("=",Table2489[[#This Row],[Reference]])-1))</f>
        <v>3000</v>
      </c>
      <c r="F44" s="3" t="str">
        <f>VLOOKUP(Table2489[[#This Row],[Column1]],D:E,2,FALSE)</f>
        <v>3000</v>
      </c>
      <c r="G44" s="3"/>
      <c r="H44" s="4" t="str">
        <f>CONCATENATE(Table2489[[#This Row],[Standard Attributes List]]," = ",IF(Table2489[[#This Row],[Overwrite Value]]="",Table2489[[#This Row],[Ref. Value]],Table2489[[#This Row],[Overwrite Value]]))</f>
        <v>SETTING DIFFERENTIAL PRESSURE - RECOMMENDED (MIN)(PSI) = 3000</v>
      </c>
      <c r="I44" t="str">
        <f>IF(Table2489[[#This Row],[Reference]]=Table2489[[#This Row],[Output]],"OK","NG")</f>
        <v>OK</v>
      </c>
      <c r="J44" s="2" t="str">
        <f>RIGHT(Table2489[[#This Row],[Output]],LEN(Table2489[[#This Row],[Output]])-FIND("=",Table2489[[#This Row],[Output]])-1)</f>
        <v>3000</v>
      </c>
      <c r="K44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4" s="11"/>
      <c r="N44" s="11"/>
    </row>
    <row r="45" spans="1:14" ht="16" thickTop="1" thickBot="1">
      <c r="A45" s="7" t="s">
        <v>43</v>
      </c>
      <c r="B45" s="2" t="str">
        <f>SUBSTITUTE(SUBSTITUTE(SUBSTITUTE(Table2489[[#This Row],[Standard Attributes List]]," ",""),".",""),"-","")</f>
        <v>SETTINGMETHOD</v>
      </c>
      <c r="C45" s="3" t="s">
        <v>99</v>
      </c>
      <c r="D45" s="3" t="str">
        <f>SUBSTITUTE(SUBSTITUTE(SUBSTITUTE(LEFT(Table2489[[#This Row],[Reference]],FIND("=",Table2489[[#This Row],[Reference]])-2)," ",""),".",""),"-","")</f>
        <v>SETTINGMETHOD</v>
      </c>
      <c r="E45" s="3" t="str">
        <f>TRIM(RIGHT(Table2489[[#This Row],[Reference]],LEN(Table2489[[#This Row],[Reference]])-FIND("=",Table2489[[#This Row],[Reference]])-1))</f>
        <v>HYDRAULIC</v>
      </c>
      <c r="F45" s="3" t="str">
        <f>VLOOKUP(Table2489[[#This Row],[Column1]],D:E,2,FALSE)</f>
        <v>HYDRAULIC</v>
      </c>
      <c r="G45" s="3"/>
      <c r="H45" s="4" t="str">
        <f>CONCATENATE(Table2489[[#This Row],[Standard Attributes List]]," = ",IF(Table2489[[#This Row],[Overwrite Value]]="",Table2489[[#This Row],[Ref. Value]],Table2489[[#This Row],[Overwrite Value]]))</f>
        <v>SETTING METHOD = HYDRAULIC</v>
      </c>
      <c r="I45" t="str">
        <f>IF(Table2489[[#This Row],[Reference]]=Table2489[[#This Row],[Output]],"OK","NG")</f>
        <v>OK</v>
      </c>
      <c r="J45" s="2" t="str">
        <f>RIGHT(Table2489[[#This Row],[Output]],LEN(Table2489[[#This Row],[Output]])-FIND("=",Table2489[[#This Row],[Output]])-1)</f>
        <v>HYDRAULIC</v>
      </c>
      <c r="K45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5" s="11"/>
      <c r="N45" s="11"/>
    </row>
    <row r="46" spans="1:14" ht="16" thickTop="1" thickBot="1">
      <c r="A46" s="7" t="s">
        <v>108</v>
      </c>
      <c r="B46" s="2" t="str">
        <f>SUBSTITUTE(SUBSTITUTE(SUBSTITUTE(Table2489[[#This Row],[Standard Attributes List]]," ",""),".",""),"-","")</f>
        <v>SETTINGPRESSURE1STSHEAR(PSI)</v>
      </c>
      <c r="C46" s="3" t="s">
        <v>505</v>
      </c>
      <c r="D46" s="3" t="str">
        <f>SUBSTITUTE(SUBSTITUTE(SUBSTITUTE(LEFT(Table2489[[#This Row],[Reference]],FIND("=",Table2489[[#This Row],[Reference]])-2)," ",""),".",""),"-","")</f>
        <v>SETTINGPRESSURE1STSHEAR(PSI)</v>
      </c>
      <c r="E46" s="3" t="str">
        <f>TRIM(RIGHT(Table2489[[#This Row],[Reference]],LEN(Table2489[[#This Row],[Reference]])-FIND("=",Table2489[[#This Row],[Reference]])-1))</f>
        <v>1126</v>
      </c>
      <c r="F46" s="3" t="str">
        <f>VLOOKUP(Table2489[[#This Row],[Column1]],D:E,2,FALSE)</f>
        <v>1126</v>
      </c>
      <c r="G46" s="3"/>
      <c r="H46" s="4" t="str">
        <f>CONCATENATE(Table2489[[#This Row],[Standard Attributes List]]," = ",IF(Table2489[[#This Row],[Overwrite Value]]="",Table2489[[#This Row],[Ref. Value]],Table2489[[#This Row],[Overwrite Value]]))</f>
        <v>SETTING PRESSURE 1ST SHEAR (PSI) = 1126</v>
      </c>
      <c r="I46" t="str">
        <f>IF(Table2489[[#This Row],[Reference]]=Table2489[[#This Row],[Output]],"OK","NG")</f>
        <v>OK</v>
      </c>
      <c r="J46" s="2" t="str">
        <f>RIGHT(Table2489[[#This Row],[Output]],LEN(Table2489[[#This Row],[Output]])-FIND("=",Table2489[[#This Row],[Output]])-1)</f>
        <v>1126</v>
      </c>
      <c r="K46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6" s="11"/>
      <c r="N46" s="11"/>
    </row>
    <row r="47" spans="1:14" ht="16" thickTop="1" thickBot="1">
      <c r="A47" s="7" t="s">
        <v>109</v>
      </c>
      <c r="B47" s="2" t="str">
        <f>SUBSTITUTE(SUBSTITUTE(SUBSTITUTE(Table2489[[#This Row],[Standard Attributes List]]," ",""),".",""),"-","")</f>
        <v>SETTINGPRESSURESLIPENGAGEMENT(PSI)</v>
      </c>
      <c r="C47" s="3" t="s">
        <v>506</v>
      </c>
      <c r="D47" s="3" t="str">
        <f>SUBSTITUTE(SUBSTITUTE(SUBSTITUTE(LEFT(Table2489[[#This Row],[Reference]],FIND("=",Table2489[[#This Row],[Reference]])-2)," ",""),".",""),"-","")</f>
        <v>SETTINGPRESSURESLIPENGAGEMENT(PSI)</v>
      </c>
      <c r="E47" s="3" t="str">
        <f>TRIM(RIGHT(Table2489[[#This Row],[Reference]],LEN(Table2489[[#This Row],[Reference]])-FIND("=",Table2489[[#This Row],[Reference]])-1))</f>
        <v>1126</v>
      </c>
      <c r="F47" s="3" t="str">
        <f>VLOOKUP(Table2489[[#This Row],[Column1]],D:E,2,FALSE)</f>
        <v>1126</v>
      </c>
      <c r="G47" s="3"/>
      <c r="H47" s="4" t="str">
        <f>CONCATENATE(Table2489[[#This Row],[Standard Attributes List]]," = ",IF(Table2489[[#This Row],[Overwrite Value]]="",Table2489[[#This Row],[Ref. Value]],Table2489[[#This Row],[Overwrite Value]]))</f>
        <v>SETTING PRESSURE SLIP ENGAGEMENT (PSI) = 1126</v>
      </c>
      <c r="I47" t="str">
        <f>IF(Table2489[[#This Row],[Reference]]=Table2489[[#This Row],[Output]],"OK","NG")</f>
        <v>OK</v>
      </c>
      <c r="J47" s="2" t="str">
        <f>RIGHT(Table2489[[#This Row],[Output]],LEN(Table2489[[#This Row],[Output]])-FIND("=",Table2489[[#This Row],[Output]])-1)</f>
        <v>1126</v>
      </c>
      <c r="K47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7" s="11"/>
      <c r="N47" s="11"/>
    </row>
    <row r="48" spans="1:14" ht="16" thickTop="1" thickBot="1">
      <c r="A48" s="7" t="s">
        <v>224</v>
      </c>
      <c r="B48" s="2" t="str">
        <f>SUBSTITUTE(SUBSTITUTE(SUBSTITUTE(Table2489[[#This Row],[Standard Attributes List]]," ",""),".",""),"-","")</f>
        <v>SHEARRELEASEFORCE(LB)</v>
      </c>
      <c r="C48" s="3" t="s">
        <v>507</v>
      </c>
      <c r="D48" s="3" t="str">
        <f>SUBSTITUTE(SUBSTITUTE(SUBSTITUTE(LEFT(Table2489[[#This Row],[Reference]],FIND("=",Table2489[[#This Row],[Reference]])-2)," ",""),".",""),"-","")</f>
        <v>SHEARRELEASEFORCE(LB)</v>
      </c>
      <c r="E48" s="3" t="str">
        <f>TRIM(RIGHT(Table2489[[#This Row],[Reference]],LEN(Table2489[[#This Row],[Reference]])-FIND("=",Table2489[[#This Row],[Reference]])-1))</f>
        <v>103792</v>
      </c>
      <c r="F48" s="3" t="str">
        <f>VLOOKUP(Table2489[[#This Row],[Column1]],D:E,2,FALSE)</f>
        <v>103792</v>
      </c>
      <c r="G48" s="3"/>
      <c r="H48" s="4" t="str">
        <f>CONCATENATE(Table2489[[#This Row],[Standard Attributes List]]," = ",IF(Table2489[[#This Row],[Overwrite Value]]="",Table2489[[#This Row],[Ref. Value]],Table2489[[#This Row],[Overwrite Value]]))</f>
        <v>SHEAR RELEASE FORCE (LB) = 103792</v>
      </c>
      <c r="I48" t="str">
        <f>IF(Table2489[[#This Row],[Reference]]=Table2489[[#This Row],[Output]],"OK","NG")</f>
        <v>OK</v>
      </c>
      <c r="J48" s="2" t="str">
        <f>RIGHT(Table2489[[#This Row],[Output]],LEN(Table2489[[#This Row],[Output]])-FIND("=",Table2489[[#This Row],[Output]])-1)</f>
        <v>103792</v>
      </c>
      <c r="K48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49" spans="1:11" ht="16" thickTop="1" thickBot="1">
      <c r="A49" s="7" t="s">
        <v>13</v>
      </c>
      <c r="B49" s="2" t="str">
        <f>SUBSTITUTE(SUBSTITUTE(SUBSTITUTE(Table2489[[#This Row],[Standard Attributes List]]," ",""),".",""),"-","")</f>
        <v>TENSILESTRENGTH(LBS)EOECATSPECIFIEDTEMP(F)</v>
      </c>
      <c r="C49" s="3" t="s">
        <v>508</v>
      </c>
      <c r="D49" s="3" t="str">
        <f>SUBSTITUTE(SUBSTITUTE(SUBSTITUTE(LEFT(Table2489[[#This Row],[Reference]],FIND("=",Table2489[[#This Row],[Reference]])-2)," ",""),".",""),"-","")</f>
        <v>TENSILESTRENGTH(LBS)EOECATSPECIFIEDTEMP(F)</v>
      </c>
      <c r="E49" s="3" t="str">
        <f>TRIM(RIGHT(Table2489[[#This Row],[Reference]],LEN(Table2489[[#This Row],[Reference]])-FIND("=",Table2489[[#This Row],[Reference]])-1))</f>
        <v>208000[325]</v>
      </c>
      <c r="F49" s="3" t="str">
        <f>VLOOKUP(Table2489[[#This Row],[Column1]],D:E,2,FALSE)</f>
        <v>208000[325]</v>
      </c>
      <c r="G49" s="3"/>
      <c r="H49" s="4" t="str">
        <f>CONCATENATE(Table2489[[#This Row],[Standard Attributes List]]," = ",IF(Table2489[[#This Row],[Overwrite Value]]="",Table2489[[#This Row],[Ref. Value]],Table2489[[#This Row],[Overwrite Value]]))</f>
        <v>TENSILE STRENGTH (LBS) - EOEC AT SPECIFIED TEMP (F) = 208000[325]</v>
      </c>
      <c r="I49" t="str">
        <f>IF(Table2489[[#This Row],[Reference]]=Table2489[[#This Row],[Output]],"OK","NG")</f>
        <v>OK</v>
      </c>
      <c r="J49" s="2" t="str">
        <f>RIGHT(Table2489[[#This Row],[Output]],LEN(Table2489[[#This Row],[Output]])-FIND("=",Table2489[[#This Row],[Output]])-1)</f>
        <v>208000[325]</v>
      </c>
      <c r="K49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50" spans="1:11" ht="16" thickTop="1" thickBot="1">
      <c r="A50" s="7" t="s">
        <v>44</v>
      </c>
      <c r="B50" s="2" t="str">
        <f>SUBSTITUTE(SUBSTITUTE(SUBSTITUTE(Table2489[[#This Row],[Standard Attributes List]]," ",""),".",""),"-","")</f>
        <v>TORQUECAPACITYEOEC(FTLBS)</v>
      </c>
      <c r="C50" s="3" t="s">
        <v>509</v>
      </c>
      <c r="D50" s="3" t="str">
        <f>SUBSTITUTE(SUBSTITUTE(SUBSTITUTE(LEFT(Table2489[[#This Row],[Reference]],FIND("=",Table2489[[#This Row],[Reference]])-2)," ",""),".",""),"-","")</f>
        <v>TORQUECAPACITYEOEC(FTLBS)</v>
      </c>
      <c r="E50" s="3" t="str">
        <f>TRIM(RIGHT(Table2489[[#This Row],[Reference]],LEN(Table2489[[#This Row],[Reference]])-FIND("=",Table2489[[#This Row],[Reference]])-1))</f>
        <v>N/A</v>
      </c>
      <c r="F50" s="3" t="str">
        <f>VLOOKUP(Table2489[[#This Row],[Column1]],D:E,2,FALSE)</f>
        <v>N/A</v>
      </c>
      <c r="G50" s="3"/>
      <c r="H50" s="4" t="str">
        <f>CONCATENATE(Table2489[[#This Row],[Standard Attributes List]]," = ",IF(Table2489[[#This Row],[Overwrite Value]]="",Table2489[[#This Row],[Ref. Value]],Table2489[[#This Row],[Overwrite Value]]))</f>
        <v>TORQUE CAPACITY - EOEC (FT-LBS) = N/A</v>
      </c>
      <c r="I50" t="str">
        <f>IF(Table2489[[#This Row],[Reference]]=Table2489[[#This Row],[Output]],"OK","NG")</f>
        <v>OK</v>
      </c>
      <c r="J50" s="2" t="str">
        <f>RIGHT(Table2489[[#This Row],[Output]],LEN(Table2489[[#This Row],[Output]])-FIND("=",Table2489[[#This Row],[Output]])-1)</f>
        <v>N/A</v>
      </c>
      <c r="K50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51" spans="1:11" ht="16" thickTop="1" thickBot="1">
      <c r="A51" s="7" t="s">
        <v>14</v>
      </c>
      <c r="B51" s="2" t="str">
        <f>SUBSTITUTE(SUBSTITUTE(SUBSTITUTE(Table2489[[#This Row],[Standard Attributes List]]," ",""),".",""),"-","")</f>
        <v>UPPERTHREADCONNECTINGSIZE(IN),WT(PPF),TYPE,CONFIG</v>
      </c>
      <c r="C51" s="3" t="s">
        <v>510</v>
      </c>
      <c r="D51" s="3" t="str">
        <f>SUBSTITUTE(SUBSTITUTE(SUBSTITUTE(LEFT(Table2489[[#This Row],[Reference]],FIND("=",Table2489[[#This Row],[Reference]])-2)," ",""),".",""),"-","")</f>
        <v>UPPERTHREADCONNECTINGSIZE(IN),WT(PPF),TYPE,CONFIG</v>
      </c>
      <c r="E51" s="3" t="str">
        <f>TRIM(RIGHT(Table2489[[#This Row],[Reference]],LEN(Table2489[[#This Row],[Reference]])-FIND("=",Table2489[[#This Row],[Reference]])-1))</f>
        <v>3.5, 9.3, EUE, BOX</v>
      </c>
      <c r="F51" s="3" t="str">
        <f>VLOOKUP(Table2489[[#This Row],[Column1]],D:E,2,FALSE)</f>
        <v>3.5, 9.3, EUE, BOX</v>
      </c>
      <c r="G51" s="3" t="s">
        <v>511</v>
      </c>
      <c r="H51" s="4" t="str">
        <f>CONCATENATE(Table2489[[#This Row],[Standard Attributes List]]," = ",IF(Table2489[[#This Row],[Overwrite Value]]="",Table2489[[#This Row],[Ref. Value]],Table2489[[#This Row],[Overwrite Value]]))</f>
        <v>UPPER THREAD CONNECTING - SIZE (IN), WT (PPF), TYPE, CONFIG = 3.500， 9.2， VAM TOP, BOX</v>
      </c>
      <c r="I51" t="str">
        <f>IF(Table2489[[#This Row],[Reference]]=Table2489[[#This Row],[Output]],"OK","NG")</f>
        <v>NG</v>
      </c>
      <c r="J51" s="2" t="str">
        <f>RIGHT(Table2489[[#This Row],[Output]],LEN(Table2489[[#This Row],[Output]])-FIND("=",Table2489[[#This Row],[Output]])-1)</f>
        <v>3.500， 9.2， VAM TOP, BOX</v>
      </c>
      <c r="K51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>UPPER THREAD CONNECTING - SIZE (IN), WT (PPF), TYPE, CONFIG CHANGED TO "3.500， 9.2， VAM TOP, BOX"</v>
      </c>
    </row>
    <row r="52" spans="1:11" ht="15" thickTop="1"/>
  </sheetData>
  <phoneticPr fontId="27" type="noConversion"/>
  <conditionalFormatting sqref="H2">
    <cfRule type="expression" dxfId="3" priority="4">
      <formula>ISERROR($H2)</formula>
    </cfRule>
  </conditionalFormatting>
  <conditionalFormatting sqref="H52:I61 H3:H51">
    <cfRule type="expression" dxfId="2" priority="3">
      <formula>ISERROR($H3)</formula>
    </cfRule>
  </conditionalFormatting>
  <conditionalFormatting sqref="I2">
    <cfRule type="expression" dxfId="1" priority="2">
      <formula>$I2="OK"</formula>
    </cfRule>
  </conditionalFormatting>
  <conditionalFormatting sqref="I3:I51">
    <cfRule type="expression" dxfId="0" priority="1">
      <formula>$I3="OK"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"/>
  <sheetViews>
    <sheetView workbookViewId="0">
      <selection activeCell="B11" sqref="B11"/>
    </sheetView>
  </sheetViews>
  <sheetFormatPr baseColWidth="10" defaultColWidth="8.83203125" defaultRowHeight="14"/>
  <cols>
    <col min="1" max="16384" width="8.83203125" style="46"/>
  </cols>
  <sheetData/>
  <phoneticPr fontId="27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工作表</vt:lpstr>
      </vt:variant>
      <vt:variant>
        <vt:i4>13</vt:i4>
      </vt:variant>
      <vt:variant>
        <vt:lpstr>图表</vt:lpstr>
      </vt:variant>
      <vt:variant>
        <vt:i4>1</vt:i4>
      </vt:variant>
      <vt:variant>
        <vt:lpstr>命名范围</vt:lpstr>
      </vt:variant>
      <vt:variant>
        <vt:i4>9</vt:i4>
      </vt:variant>
    </vt:vector>
  </HeadingPairs>
  <TitlesOfParts>
    <vt:vector size="23" baseType="lpstr">
      <vt:lpstr>Attributes List</vt:lpstr>
      <vt:lpstr>Plot</vt:lpstr>
      <vt:lpstr>XHP</vt:lpstr>
      <vt:lpstr>XHP-CL, XHP-A-CL</vt:lpstr>
      <vt:lpstr>Quantum</vt:lpstr>
      <vt:lpstr>QHS</vt:lpstr>
      <vt:lpstr>Quantum Max</vt:lpstr>
      <vt:lpstr>MRP-ESP</vt:lpstr>
      <vt:lpstr>MRP</vt:lpstr>
      <vt:lpstr>CPA_Table</vt:lpstr>
      <vt:lpstr>PDS</vt:lpstr>
      <vt:lpstr>BluePack RH</vt:lpstr>
      <vt:lpstr>Instructions</vt:lpstr>
      <vt:lpstr>Chart</vt:lpstr>
      <vt:lpstr>'BluePack RH'!ATT</vt:lpstr>
      <vt:lpstr>MRP!ATT</vt:lpstr>
      <vt:lpstr>'MRP-ESP'!ATT</vt:lpstr>
      <vt:lpstr>QHS!ATT</vt:lpstr>
      <vt:lpstr>Quantum!ATT</vt:lpstr>
      <vt:lpstr>'Quantum Max'!ATT</vt:lpstr>
      <vt:lpstr>'XHP-CL, XHP-A-CL'!ATT</vt:lpstr>
      <vt:lpstr>ATT</vt:lpstr>
      <vt:lpstr>Tab_Data_Txt</vt:lpstr>
    </vt:vector>
  </TitlesOfParts>
  <Company>Schlumberger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XNiu2</dc:creator>
  <cp:lastModifiedBy>alexhex@chaos.partner.onmschina.cn</cp:lastModifiedBy>
  <dcterms:created xsi:type="dcterms:W3CDTF">2012-09-10T06:30:18Z</dcterms:created>
  <dcterms:modified xsi:type="dcterms:W3CDTF">2018-07-12T10:38:56Z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